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eams" sheetId="2" r:id="rId2"/>
    <sheet name="Venues" sheetId="3" r:id="rId3"/>
    <sheet name="CleaningLog" sheetId="4" r:id="rId4"/>
    <sheet name="Matches" sheetId="5" r:id="rId5"/>
    <sheet name="Summary" sheetId="6" r:id="rId6"/>
    <sheet name="Stats" sheetId="7" r:id="rId7"/>
  </sheets>
  <definedNames>
    <definedName name="_xlnm._FilterDatabase" localSheetId="3" hidden="1">CleaningLog!$A$1:$B$6</definedName>
    <definedName name="_xlnm._FilterDatabase" localSheetId="4" hidden="1">Matches!$A$1:$Z$757</definedName>
    <definedName name="_xlnm._FilterDatabase" localSheetId="1" hidden="1">Teams!$A$1:$D$14</definedName>
    <definedName name="_xlnm._FilterDatabase" localSheetId="2" hidden="1">Venues!$A$1:$C$34</definedName>
  </definedNames>
  <calcPr calcId="124519" fullCalcOnLoad="1"/>
</workbook>
</file>

<file path=xl/sharedStrings.xml><?xml version="1.0" encoding="utf-8"?>
<sst xmlns="http://schemas.openxmlformats.org/spreadsheetml/2006/main" count="7060" uniqueCount="452">
  <si>
    <t>IPL Match Analytics 2008-2019: Excel workbook (Data Analytics mini project)</t>
  </si>
  <si>
    <t>Data: match-level IPL results 2008-2019 (756 matches), from a public copy of the widely used Kaggle 'IPL' matches dataset on GitHub (srinathkr07/IPL-Data-Analysis). Confirm the source licence before publishing. It has no ball-by-ball data, so there are no batting or bowling totals, and it stops at the 2019 season.</t>
  </si>
  <si>
    <t>Cleaning done (see the CleaningLog sheet): mixed date formats fixed, duplicate team and venue spellings merged, missing cities filled.</t>
  </si>
  <si>
    <t>Sheets</t>
  </si>
  <si>
    <t>Matches: 756 matches. Columns P to Z are formulas (INDEX/MATCH lookups, CONCATENATE with &amp;, IF flags, outlier check).</t>
  </si>
  <si>
    <t>Teams, Venues: lookup tables.  Summary: COUNTIFS summaries and charts.  Stats: central tendency, spread, IQR outliers, histogram.</t>
  </si>
  <si>
    <t>To add real PivotTables (as in your worksheet)</t>
  </si>
  <si>
    <t>Click a cell in Matches &gt; Insert &gt; PivotTable. Rows: Winner, Values: Count of match_id. Add Season as a column field, or Group the match_date by Years.</t>
  </si>
  <si>
    <t>team_id</t>
  </si>
  <si>
    <t>team_name</t>
  </si>
  <si>
    <t>home_city</t>
  </si>
  <si>
    <t>status</t>
  </si>
  <si>
    <t>T01</t>
  </si>
  <si>
    <t>Chennai Super Kings</t>
  </si>
  <si>
    <t>Chennai</t>
  </si>
  <si>
    <t>Active</t>
  </si>
  <si>
    <t>T02</t>
  </si>
  <si>
    <t>Deccan Chargers</t>
  </si>
  <si>
    <t>Hyderabad</t>
  </si>
  <si>
    <t>Defunct</t>
  </si>
  <si>
    <t>T03</t>
  </si>
  <si>
    <t>Delhi Capitals</t>
  </si>
  <si>
    <t>Delhi</t>
  </si>
  <si>
    <t>T04</t>
  </si>
  <si>
    <t>Gujarat Lions</t>
  </si>
  <si>
    <t>Rajkot</t>
  </si>
  <si>
    <t>T05</t>
  </si>
  <si>
    <t>Kings XI Punjab</t>
  </si>
  <si>
    <t>Chandigarh</t>
  </si>
  <si>
    <t>T06</t>
  </si>
  <si>
    <t>Kochi Tuskers Kerala</t>
  </si>
  <si>
    <t>Kochi</t>
  </si>
  <si>
    <t>T07</t>
  </si>
  <si>
    <t>Kolkata Knight Riders</t>
  </si>
  <si>
    <t>Kolkata</t>
  </si>
  <si>
    <t>T08</t>
  </si>
  <si>
    <t>Mumbai Indians</t>
  </si>
  <si>
    <t>Mumbai</t>
  </si>
  <si>
    <t>T09</t>
  </si>
  <si>
    <t>Pune Warriors</t>
  </si>
  <si>
    <t>Pune</t>
  </si>
  <si>
    <t>T10</t>
  </si>
  <si>
    <t>Rajasthan Royals</t>
  </si>
  <si>
    <t>Jaipur</t>
  </si>
  <si>
    <t>T11</t>
  </si>
  <si>
    <t>Rising Pune Supergiant</t>
  </si>
  <si>
    <t>T12</t>
  </si>
  <si>
    <t>Royal Challengers Bangalore</t>
  </si>
  <si>
    <t>Bangalore</t>
  </si>
  <si>
    <t>T13</t>
  </si>
  <si>
    <t>Sunrisers Hyderabad</t>
  </si>
  <si>
    <t>venue_id</t>
  </si>
  <si>
    <t>venue_name</t>
  </si>
  <si>
    <t>city</t>
  </si>
  <si>
    <t>V01</t>
  </si>
  <si>
    <t>Barabati Stadium</t>
  </si>
  <si>
    <t>Cuttack</t>
  </si>
  <si>
    <t>V02</t>
  </si>
  <si>
    <t>Brabourne Stadium</t>
  </si>
  <si>
    <t>V03</t>
  </si>
  <si>
    <t>Buffalo Park</t>
  </si>
  <si>
    <t>East London</t>
  </si>
  <si>
    <t>V04</t>
  </si>
  <si>
    <t>De Beers Diamond Oval</t>
  </si>
  <si>
    <t>Kimberley</t>
  </si>
  <si>
    <t>V05</t>
  </si>
  <si>
    <t>Dr DY Patil Sports Academy</t>
  </si>
  <si>
    <t>V06</t>
  </si>
  <si>
    <t>Dr. Y.S. Rajasekhara Reddy ACA-VDCA Cricket Stadium</t>
  </si>
  <si>
    <t>Visakhapatnam</t>
  </si>
  <si>
    <t>V07</t>
  </si>
  <si>
    <t>Dubai International Cricket Stadium</t>
  </si>
  <si>
    <t>Dubai</t>
  </si>
  <si>
    <t>V08</t>
  </si>
  <si>
    <t>Eden Gardens</t>
  </si>
  <si>
    <t>V09</t>
  </si>
  <si>
    <t>Feroz Shah Kotla</t>
  </si>
  <si>
    <t>V10</t>
  </si>
  <si>
    <t>Green Park</t>
  </si>
  <si>
    <t>Kanpur</t>
  </si>
  <si>
    <t>V11</t>
  </si>
  <si>
    <t>Himachal Pradesh Cricket Association Stadium</t>
  </si>
  <si>
    <t>Dharamsala</t>
  </si>
  <si>
    <t>V12</t>
  </si>
  <si>
    <t>Holkar Cricket Stadium</t>
  </si>
  <si>
    <t>Indore</t>
  </si>
  <si>
    <t>V13</t>
  </si>
  <si>
    <t>JSCA International Stadium Complex</t>
  </si>
  <si>
    <t>Ranchi</t>
  </si>
  <si>
    <t>V14</t>
  </si>
  <si>
    <t>Kingsmead</t>
  </si>
  <si>
    <t>Durban</t>
  </si>
  <si>
    <t>V15</t>
  </si>
  <si>
    <t>M Chinnaswamy Stadium</t>
  </si>
  <si>
    <t>V16</t>
  </si>
  <si>
    <t>MA Chidambaram Stadium</t>
  </si>
  <si>
    <t>V17</t>
  </si>
  <si>
    <t>Maharashtra Cricket Association Stadium</t>
  </si>
  <si>
    <t>V18</t>
  </si>
  <si>
    <t>Nehru Stadium</t>
  </si>
  <si>
    <t>V19</t>
  </si>
  <si>
    <t>New Wanderers Stadium</t>
  </si>
  <si>
    <t>Johannesburg</t>
  </si>
  <si>
    <t>V20</t>
  </si>
  <si>
    <t>Newlands</t>
  </si>
  <si>
    <t>Cape Town</t>
  </si>
  <si>
    <t>V21</t>
  </si>
  <si>
    <t>OUTsurance Oval</t>
  </si>
  <si>
    <t>Bloemfontein</t>
  </si>
  <si>
    <t>V22</t>
  </si>
  <si>
    <t>Punjab Cricket Association IS Bindra Stadium</t>
  </si>
  <si>
    <t>V23</t>
  </si>
  <si>
    <t>Rajiv Gandhi International Stadium</t>
  </si>
  <si>
    <t>V24</t>
  </si>
  <si>
    <t>Sardar Patel Stadium</t>
  </si>
  <si>
    <t>Ahmedabad</t>
  </si>
  <si>
    <t>V25</t>
  </si>
  <si>
    <t>Saurashtra Cricket Association Stadium</t>
  </si>
  <si>
    <t>V26</t>
  </si>
  <si>
    <t>Sawai Mansingh Stadium</t>
  </si>
  <si>
    <t>V27</t>
  </si>
  <si>
    <t>Shaheed Veer Narayan Singh International Stadium</t>
  </si>
  <si>
    <t>Raipur</t>
  </si>
  <si>
    <t>V28</t>
  </si>
  <si>
    <t>Sharjah Cricket Stadium</t>
  </si>
  <si>
    <t>Sharjah</t>
  </si>
  <si>
    <t>V29</t>
  </si>
  <si>
    <t>Sheikh Zayed Stadium</t>
  </si>
  <si>
    <t>Abu Dhabi</t>
  </si>
  <si>
    <t>V30</t>
  </si>
  <si>
    <t>St George's Park</t>
  </si>
  <si>
    <t>Port Elizabeth</t>
  </si>
  <si>
    <t>V31</t>
  </si>
  <si>
    <t>SuperSport Park</t>
  </si>
  <si>
    <t>Centurion</t>
  </si>
  <si>
    <t>V32</t>
  </si>
  <si>
    <t>Vidarbha Cricket Association Stadium</t>
  </si>
  <si>
    <t>Nagpur</t>
  </si>
  <si>
    <t>V33</t>
  </si>
  <si>
    <t>Wankhede Stadium</t>
  </si>
  <si>
    <t>cleaning_step</t>
  </si>
  <si>
    <t>rows_affected</t>
  </si>
  <si>
    <t>Dates in dd/mm/yy format converted to ISO</t>
  </si>
  <si>
    <t>Team-name cells standardised (Delhi Daredevils to Delhi Capitals, Supergiants to Supergiant)</t>
  </si>
  <si>
    <t>Venue names standardised (duplicate spellings merged)</t>
  </si>
  <si>
    <t>Missing city filled from venue</t>
  </si>
  <si>
    <t>Matches with no winner (no result)</t>
  </si>
  <si>
    <t>match_id</t>
  </si>
  <si>
    <t>season</t>
  </si>
  <si>
    <t>match_date</t>
  </si>
  <si>
    <t>stage</t>
  </si>
  <si>
    <t>team1_id</t>
  </si>
  <si>
    <t>team2_id</t>
  </si>
  <si>
    <t>toss_winner_id</t>
  </si>
  <si>
    <t>toss_decision</t>
  </si>
  <si>
    <t>result</t>
  </si>
  <si>
    <t>dl_applied</t>
  </si>
  <si>
    <t>winner_id</t>
  </si>
  <si>
    <t>win_by_runs</t>
  </si>
  <si>
    <t>win_by_wickets</t>
  </si>
  <si>
    <t>player_of_match</t>
  </si>
  <si>
    <t>Team1</t>
  </si>
  <si>
    <t>Team2</t>
  </si>
  <si>
    <t>TossWinner</t>
  </si>
  <si>
    <t>Winner</t>
  </si>
  <si>
    <t>Venue</t>
  </si>
  <si>
    <t>City</t>
  </si>
  <si>
    <t>Margin</t>
  </si>
  <si>
    <t>TossWinnerWon</t>
  </si>
  <si>
    <t>RunMargin</t>
  </si>
  <si>
    <t>Outlier?</t>
  </si>
  <si>
    <t>Match</t>
  </si>
  <si>
    <t>League/Playoff</t>
  </si>
  <si>
    <t>field</t>
  </si>
  <si>
    <t>normal</t>
  </si>
  <si>
    <t>BB McCullum</t>
  </si>
  <si>
    <t>bat</t>
  </si>
  <si>
    <t>MEK Hussey</t>
  </si>
  <si>
    <t>MF Maharoof</t>
  </si>
  <si>
    <t>MV Boucher</t>
  </si>
  <si>
    <t>DJ Hussey</t>
  </si>
  <si>
    <t>SR Watson</t>
  </si>
  <si>
    <t>V Sehwag</t>
  </si>
  <si>
    <t>ML Hayden</t>
  </si>
  <si>
    <t>YK Pathan</t>
  </si>
  <si>
    <t>KC Sangakkara</t>
  </si>
  <si>
    <t>JDP Oram</t>
  </si>
  <si>
    <t>AC Gilchrist</t>
  </si>
  <si>
    <t>SM Katich</t>
  </si>
  <si>
    <t>MS Dhoni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</si>
  <si>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</si>
  <si>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</si>
  <si>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</si>
  <si>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</si>
  <si>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</si>
  <si>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</si>
  <si>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</si>
  <si>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</si>
  <si>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</si>
  <si>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</si>
  <si>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</si>
  <si>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</si>
  <si>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</si>
  <si>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</si>
  <si>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</si>
  <si>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</si>
  <si>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</si>
  <si>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</si>
  <si>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</si>
  <si>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</si>
  <si>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</si>
  <si>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</si>
  <si>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</si>
  <si>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</si>
  <si>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</si>
  <si>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</si>
  <si>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Final</t>
  </si>
  <si>
    <t>SR Tendulkar</t>
  </si>
  <si>
    <t>R Dravid</t>
  </si>
  <si>
    <t>DL Vettori</t>
  </si>
  <si>
    <t>RP Singh</t>
  </si>
  <si>
    <t>M Muralitharan</t>
  </si>
  <si>
    <t>CH Gayle</t>
  </si>
  <si>
    <t>AB de Villiers</t>
  </si>
  <si>
    <t>tie</t>
  </si>
  <si>
    <t>RS Bopara</t>
  </si>
  <si>
    <t>PP Ojha</t>
  </si>
  <si>
    <t>TM Dilshan</t>
  </si>
  <si>
    <t>HH Gibbs</t>
  </si>
  <si>
    <t>DP Nannes</t>
  </si>
  <si>
    <t>JP Duminy</t>
  </si>
  <si>
    <t>Yuvraj Singh</t>
  </si>
  <si>
    <t>SB Jakati</t>
  </si>
  <si>
    <t>JH Kallis</t>
  </si>
  <si>
    <t>G Gambhir</t>
  </si>
  <si>
    <t>RG Sharma</t>
  </si>
  <si>
    <t>A Singh</t>
  </si>
  <si>
    <t>S Badrinath</t>
  </si>
  <si>
    <t>DR Smith</t>
  </si>
  <si>
    <t>LRPL Taylor</t>
  </si>
  <si>
    <t>Harbhajan Singh</t>
  </si>
  <si>
    <t>R Bhatia</t>
  </si>
  <si>
    <t>SK Warne</t>
  </si>
  <si>
    <t>B Lee</t>
  </si>
  <si>
    <t>BJ Hodge</t>
  </si>
  <si>
    <t>LR Shukla</t>
  </si>
  <si>
    <t>MK Pandey</t>
  </si>
  <si>
    <t>AD Mathews</t>
  </si>
  <si>
    <t>MK Tiwary</t>
  </si>
  <si>
    <t>WPUJC Vaas</t>
  </si>
  <si>
    <t>A Symonds</t>
  </si>
  <si>
    <t>AA Jhunjhunwala</t>
  </si>
  <si>
    <t>J Theron</t>
  </si>
  <si>
    <t>RV Uthappa</t>
  </si>
  <si>
    <t>AC Voges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</si>
  <si>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</si>
  <si>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</si>
  <si>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</si>
  <si>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</si>
  <si>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</si>
  <si>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</si>
  <si>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</si>
  <si>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</si>
  <si>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</si>
  <si>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</si>
  <si>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</si>
  <si>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</si>
  <si>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</si>
  <si>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</si>
  <si>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</si>
  <si>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R McLaren</t>
  </si>
  <si>
    <t>JD Unadkat</t>
  </si>
  <si>
    <t>M Kartik</t>
  </si>
  <si>
    <t>DE Bollinger</t>
  </si>
  <si>
    <t>S Anirudha</t>
  </si>
  <si>
    <t>SK Trivedi</t>
  </si>
  <si>
    <t>SB Wagh</t>
  </si>
  <si>
    <t>PC Valthaty</t>
  </si>
  <si>
    <t>MD Mishra</t>
  </si>
  <si>
    <t>DW Steyn</t>
  </si>
  <si>
    <t>S Sohal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</si>
  <si>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</si>
  <si>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</si>
  <si>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</si>
  <si>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</si>
  <si>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</si>
  <si>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</si>
  <si>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</si>
  <si>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</si>
  <si>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</si>
  <si>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</si>
  <si>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WP Saha</t>
  </si>
  <si>
    <t>S Dhawan</t>
  </si>
  <si>
    <t>no result</t>
  </si>
  <si>
    <t>Not awarded</t>
  </si>
  <si>
    <t>JEC Franklin</t>
  </si>
  <si>
    <t>RE Levi</t>
  </si>
  <si>
    <t>SPD Smith</t>
  </si>
  <si>
    <t>AM Rahane</t>
  </si>
  <si>
    <t>RA Jadeja</t>
  </si>
  <si>
    <t>MN Samuels</t>
  </si>
  <si>
    <t>M Morkel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</si>
  <si>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</si>
  <si>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</si>
  <si>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</si>
  <si>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</si>
  <si>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</si>
  <si>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</si>
  <si>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</si>
  <si>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</si>
  <si>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</si>
  <si>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</si>
  <si>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</si>
  <si>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</si>
  <si>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</si>
  <si>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</si>
  <si>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</si>
  <si>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M Vohra</t>
  </si>
  <si>
    <t>GH Vihari</t>
  </si>
  <si>
    <t>AJ Finch</t>
  </si>
  <si>
    <t>JP Faulkner</t>
  </si>
  <si>
    <t>MS Gony</t>
  </si>
  <si>
    <t>DA Miller</t>
  </si>
  <si>
    <t>SV Samson</t>
  </si>
  <si>
    <t>DJG Sammy</t>
  </si>
  <si>
    <t>MG Johnson</t>
  </si>
  <si>
    <t>KK Cooper</t>
  </si>
  <si>
    <t>PA Patel</t>
  </si>
  <si>
    <t>AP Tare</t>
  </si>
  <si>
    <t>LJ Wright</t>
  </si>
  <si>
    <t>YS Chahal</t>
  </si>
  <si>
    <t>GJ Maxwell</t>
  </si>
  <si>
    <t>CA Lynn</t>
  </si>
  <si>
    <t>MM Sharma</t>
  </si>
  <si>
    <t>PV Tambe</t>
  </si>
  <si>
    <t>Sandeep Sharma</t>
  </si>
  <si>
    <t>B Kumar</t>
  </si>
  <si>
    <t>CJ Anderson</t>
  </si>
  <si>
    <t>KK Nair</t>
  </si>
  <si>
    <t>AR Patel</t>
  </si>
  <si>
    <t>LMP Simmons</t>
  </si>
  <si>
    <t>DJ Hooda</t>
  </si>
  <si>
    <t>GJ Bailey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</si>
  <si>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</si>
  <si>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</si>
  <si>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</si>
  <si>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</si>
  <si>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</si>
  <si>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</si>
  <si>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</si>
  <si>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</si>
  <si>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</si>
  <si>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</si>
  <si>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</si>
  <si>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</si>
  <si>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</si>
  <si>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</si>
  <si>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</si>
  <si>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</si>
  <si>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</si>
  <si>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</si>
  <si>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</si>
  <si>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</si>
  <si>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</si>
  <si>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</si>
  <si>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HM Amla</t>
  </si>
  <si>
    <t>BCJ Cutting</t>
  </si>
  <si>
    <t>Rashid Khan</t>
  </si>
  <si>
    <t>N Rana</t>
  </si>
  <si>
    <t>JJ Bumrah</t>
  </si>
  <si>
    <t>AJ Tye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</si>
  <si>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</si>
  <si>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</si>
  <si>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</si>
  <si>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</si>
  <si>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</si>
  <si>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</si>
  <si>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</si>
  <si>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</si>
  <si>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</si>
  <si>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</si>
  <si>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</si>
  <si>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SW Billings</t>
  </si>
  <si>
    <t>JJ Roy</t>
  </si>
  <si>
    <t>B Stanlake</t>
  </si>
  <si>
    <t>J Archer</t>
  </si>
  <si>
    <t>AS Rajpoot</t>
  </si>
  <si>
    <t>TG Southee</t>
  </si>
  <si>
    <t>AS Yadav</t>
  </si>
  <si>
    <t>M Ur Rahman</t>
  </si>
  <si>
    <t>Ishan Kishan</t>
  </si>
  <si>
    <t>Kuldeep Yadav</t>
  </si>
  <si>
    <t>S Gopal</t>
  </si>
  <si>
    <t>L Ngidi</t>
  </si>
  <si>
    <t>P Shaw</t>
  </si>
  <si>
    <t>J Bairstow</t>
  </si>
  <si>
    <t>S Curran</t>
  </si>
  <si>
    <t>A Joseph</t>
  </si>
  <si>
    <t>K Rabada</t>
  </si>
  <si>
    <t>H Gurney</t>
  </si>
  <si>
    <t>DL Chahar</t>
  </si>
  <si>
    <t>Imran Tahir</t>
  </si>
  <si>
    <t>K Paul</t>
  </si>
  <si>
    <t>K Ahmed</t>
  </si>
  <si>
    <t>S Gill</t>
  </si>
  <si>
    <t>S Hetmyer</t>
  </si>
  <si>
    <t>IPL 2008-2019 summary (formulas on the Matches sheet)</t>
  </si>
  <si>
    <t>Matches</t>
  </si>
  <si>
    <t>Matches with a result</t>
  </si>
  <si>
    <t>Toss winner also won the match</t>
  </si>
  <si>
    <t>Chose to field after winning toss</t>
  </si>
  <si>
    <t>Matches using Duckworth-Lewis</t>
  </si>
  <si>
    <t>Franchise</t>
  </si>
  <si>
    <t>Played</t>
  </si>
  <si>
    <t>Wins</t>
  </si>
  <si>
    <t>Win %</t>
  </si>
  <si>
    <t>Titles</t>
  </si>
  <si>
    <t>Season</t>
  </si>
  <si>
    <t>Field %</t>
  </si>
  <si>
    <t>Won batting first</t>
  </si>
  <si>
    <t>Won chasing</t>
  </si>
  <si>
    <t>Chase win %</t>
  </si>
  <si>
    <t>Distribution and outliers: runs margin (matches won by runs)</t>
  </si>
  <si>
    <t>Measure</t>
  </si>
  <si>
    <t>Value</t>
  </si>
  <si>
    <t>Count</t>
  </si>
  <si>
    <t>Mean</t>
  </si>
  <si>
    <t>Median</t>
  </si>
  <si>
    <t>Mode</t>
  </si>
  <si>
    <t>Standard deviation</t>
  </si>
  <si>
    <t>Minimum</t>
  </si>
  <si>
    <t>Maximum</t>
  </si>
  <si>
    <t>Q1 (25th percentile)</t>
  </si>
  <si>
    <t>Q3 (75th percentile)</t>
  </si>
  <si>
    <t>IQR (Q3 - Q1)</t>
  </si>
  <si>
    <t>Lower fence (Q1 - 1.5 x IQR)</t>
  </si>
  <si>
    <t>Upper fence (Q3 + 1.5 x IQR)</t>
  </si>
  <si>
    <t>Matches above the upper fence</t>
  </si>
  <si>
    <t>Skewness</t>
  </si>
  <si>
    <t>Margin (runs)</t>
  </si>
  <si>
    <t>1-10</t>
  </si>
  <si>
    <t>11-20</t>
  </si>
  <si>
    <t>21-30</t>
  </si>
  <si>
    <t>31-40</t>
  </si>
  <si>
    <t>41-60</t>
  </si>
  <si>
    <t>61-80</t>
  </si>
  <si>
    <t>81+</t>
  </si>
  <si>
    <t>How to read this</t>
  </si>
  <si>
    <t>Mean is above the median and skewness is positive: a few huge wins pull the average up (right-skewed).</t>
  </si>
  <si>
    <t>Most run wins are modest, so the median is the better 'typical margin'.</t>
  </si>
  <si>
    <t>Matches above the upper fence are flagged on the Matches sheet. They are real, record-size wins, so they are kept.</t>
  </si>
  <si>
    <t>Margins by wickets are a different measure (0-10) and are analysed separately.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</si>
</sst>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.00"/>
  </numFmts>
  <fonts count="4">
    <font>
      <sz val="11"/>
      <color theme="1"/>
      <name val="Calibri"/>
      <family val="2"/>
      <scheme val="minor"/>
    </font>
    <font>
      <b/>
      <sz val="16"/>
      <color rgb="FF0F2A4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2A4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b/>
        <color rgb="FF9C0006"/>
      </font>
      <fill>
        <patternFill>
          <bgColor rgb="FFF8CBA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Wins by franchise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Wins by franchise</c:v>
          </c:tx>
          <c:spPr>
            <a:solidFill>
              <a:srgbClr val="2F6DB5"/>
            </a:solidFill>
          </c:spPr>
          <c:cat>
            <c:strRef>
              <c:f>Summary!$A$11:$A$23</c:f>
              <c:strCache>
                <c:ptCount val="13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Kings XI Punjab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  <c:pt idx="8">
                  <c:v>Deccan Chargers</c:v>
                </c:pt>
                <c:pt idx="9">
                  <c:v>Rising Pune Supergiant</c:v>
                </c:pt>
                <c:pt idx="10">
                  <c:v>Gujarat Lions</c:v>
                </c:pt>
                <c:pt idx="11">
                  <c:v>Pune Warriors</c:v>
                </c:pt>
                <c:pt idx="12">
                  <c:v>Kochi Tuskers Kerala</c:v>
                </c:pt>
              </c:strCache>
            </c:strRef>
          </c:cat>
          <c:val>
            <c:numRef>
              <c:f>Summary!$C$11:$C$23</c:f>
              <c:numCache>
                <c:formatCode>General</c:formatCode>
                <c:ptCount val="13"/>
                <c:pt idx="0">
                  <c:v>109</c:v>
                </c:pt>
                <c:pt idx="1">
                  <c:v>100</c:v>
                </c:pt>
                <c:pt idx="2">
                  <c:v>92</c:v>
                </c:pt>
                <c:pt idx="3">
                  <c:v>84</c:v>
                </c:pt>
                <c:pt idx="4">
                  <c:v>82</c:v>
                </c:pt>
                <c:pt idx="5">
                  <c:v>77</c:v>
                </c:pt>
                <c:pt idx="6">
                  <c:v>75</c:v>
                </c:pt>
                <c:pt idx="7">
                  <c:v>58</c:v>
                </c:pt>
                <c:pt idx="8">
                  <c:v>29</c:v>
                </c:pt>
                <c:pt idx="9">
                  <c:v>15</c:v>
                </c:pt>
                <c:pt idx="10">
                  <c:v>13</c:v>
                </c:pt>
                <c:pt idx="11">
                  <c:v>12</c:v>
                </c:pt>
                <c:pt idx="12">
                  <c:v>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IPL titles by franchise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IPL titles by franchise</c:v>
          </c:tx>
          <c:spPr>
            <a:solidFill>
              <a:srgbClr val="F2B134"/>
            </a:solidFill>
          </c:spPr>
          <c:cat>
            <c:strRef>
              <c:f>Summary!$A$11:$A$23</c:f>
              <c:strCache>
                <c:ptCount val="13"/>
                <c:pt idx="0">
                  <c:v>Mumbai Indians</c:v>
                </c:pt>
                <c:pt idx="1">
                  <c:v>Chennai Super Kings</c:v>
                </c:pt>
                <c:pt idx="2">
                  <c:v>Kolkata Knight Riders</c:v>
                </c:pt>
                <c:pt idx="3">
                  <c:v>Royal Challengers Bangalore</c:v>
                </c:pt>
                <c:pt idx="4">
                  <c:v>Kings XI Punjab</c:v>
                </c:pt>
                <c:pt idx="5">
                  <c:v>Delhi Capitals</c:v>
                </c:pt>
                <c:pt idx="6">
                  <c:v>Rajasthan Royals</c:v>
                </c:pt>
                <c:pt idx="7">
                  <c:v>Sunrisers Hyderabad</c:v>
                </c:pt>
                <c:pt idx="8">
                  <c:v>Deccan Chargers</c:v>
                </c:pt>
                <c:pt idx="9">
                  <c:v>Rising Pune Supergiant</c:v>
                </c:pt>
                <c:pt idx="10">
                  <c:v>Gujarat Lions</c:v>
                </c:pt>
                <c:pt idx="11">
                  <c:v>Pune Warriors</c:v>
                </c:pt>
                <c:pt idx="12">
                  <c:v>Kochi Tuskers Kerala</c:v>
                </c:pt>
              </c:strCache>
            </c:strRef>
          </c:cat>
          <c:val>
            <c:numRef>
              <c:f>Summary!$E$11:$E$23</c:f>
              <c:numCache>
                <c:formatCode>General</c:formatCode>
                <c:ptCount val="13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Matches played per season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Matches played per season</c:v>
          </c:tx>
          <c:spPr>
            <a:solidFill>
              <a:srgbClr val="2F6DB5"/>
            </a:solidFill>
          </c:spPr>
          <c:cat>
            <c:numRef>
              <c:f>Summary!$H$4:$H$15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Summary!$I$4:$I$15</c:f>
              <c:numCache>
                <c:formatCode>General</c:formatCode>
                <c:ptCount val="12"/>
                <c:pt idx="0">
                  <c:v>58</c:v>
                </c:pt>
                <c:pt idx="1">
                  <c:v>57</c:v>
                </c:pt>
                <c:pt idx="2">
                  <c:v>60</c:v>
                </c:pt>
                <c:pt idx="3">
                  <c:v>73</c:v>
                </c:pt>
                <c:pt idx="4">
                  <c:v>74</c:v>
                </c:pt>
                <c:pt idx="5">
                  <c:v>76</c:v>
                </c:pt>
                <c:pt idx="6">
                  <c:v>60</c:v>
                </c:pt>
                <c:pt idx="7">
                  <c:v>59</c:v>
                </c:pt>
                <c:pt idx="8">
                  <c:v>60</c:v>
                </c:pt>
                <c:pt idx="9">
                  <c:v>59</c:v>
                </c:pt>
                <c:pt idx="10">
                  <c:v>60</c:v>
                </c:pt>
                <c:pt idx="11">
                  <c:v>60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Share of toss winners who chose to field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Share of toss winners who chose to field</c:v>
          </c:tx>
          <c:spPr>
            <a:solidFill>
              <a:srgbClr val="2F6DB5"/>
            </a:solidFill>
            <a:ln w="28575">
              <a:solidFill>
                <a:srgbClr val="2F6DB5"/>
              </a:solidFill>
            </a:ln>
          </c:spPr>
          <c:marker>
            <c:symbol val="circle"/>
            <c:size val="6"/>
            <c:spPr>
              <a:solidFill>
                <a:srgbClr val="2F6DB5"/>
              </a:solidFill>
              <a:ln>
                <a:solidFill>
                  <a:srgbClr val="2F6DB5"/>
                </a:solidFill>
              </a:ln>
            </c:spPr>
          </c:marker>
          <c:cat>
            <c:numRef>
              <c:f>Summary!$H$4:$H$15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Summary!$J$4:$J$15</c:f>
              <c:numCache>
                <c:formatCode>General</c:formatCode>
                <c:ptCount val="12"/>
                <c:pt idx="0">
                  <c:v>0.5517241379310345</c:v>
                </c:pt>
                <c:pt idx="1">
                  <c:v>0.38596491228070173</c:v>
                </c:pt>
                <c:pt idx="2">
                  <c:v>0.35</c:v>
                </c:pt>
                <c:pt idx="3">
                  <c:v>0.6575342465753424</c:v>
                </c:pt>
                <c:pt idx="4">
                  <c:v>0.5</c:v>
                </c:pt>
                <c:pt idx="5">
                  <c:v>0.40789473684210525</c:v>
                </c:pt>
                <c:pt idx="6">
                  <c:v>0.6833333333333333</c:v>
                </c:pt>
                <c:pt idx="7">
                  <c:v>0.576271186440678</c:v>
                </c:pt>
                <c:pt idx="8">
                  <c:v>0.8166666666666667</c:v>
                </c:pt>
                <c:pt idx="9">
                  <c:v>0.8135593220338984</c:v>
                </c:pt>
                <c:pt idx="10">
                  <c:v>0.8333333333333334</c:v>
                </c:pt>
                <c:pt idx="11">
                  <c:v>0.8333333333333334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Chasing team win 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Chasing team win %</c:v>
          </c:tx>
          <c:spPr>
            <a:solidFill>
              <a:srgbClr val="0F2A4A"/>
            </a:solidFill>
            <a:ln w="28575">
              <a:solidFill>
                <a:srgbClr val="0F2A4A"/>
              </a:solidFill>
            </a:ln>
          </c:spPr>
          <c:marker>
            <c:symbol val="circle"/>
            <c:size val="6"/>
            <c:spPr>
              <a:solidFill>
                <a:srgbClr val="0F2A4A"/>
              </a:solidFill>
              <a:ln>
                <a:solidFill>
                  <a:srgbClr val="0F2A4A"/>
                </a:solidFill>
              </a:ln>
            </c:spPr>
          </c:marker>
          <c:cat>
            <c:numRef>
              <c:f>Summary!$H$4:$H$15</c:f>
              <c:numCache>
                <c:formatCode>General</c:formatCode>
                <c:ptCount val="12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</c:numCache>
            </c:numRef>
          </c:cat>
          <c:val>
            <c:numRef>
              <c:f>Summary!$M$4:$M$15</c:f>
              <c:numCache>
                <c:formatCode>General</c:formatCode>
                <c:ptCount val="12"/>
                <c:pt idx="0">
                  <c:v>0.5862068965517241</c:v>
                </c:pt>
                <c:pt idx="1">
                  <c:v>0.5178571428571429</c:v>
                </c:pt>
                <c:pt idx="2">
                  <c:v>0.4745762711864407</c:v>
                </c:pt>
                <c:pt idx="3">
                  <c:v>0.5416666666666666</c:v>
                </c:pt>
                <c:pt idx="4">
                  <c:v>0.5405405405405406</c:v>
                </c:pt>
                <c:pt idx="5">
                  <c:v>0.5</c:v>
                </c:pt>
                <c:pt idx="6">
                  <c:v>0.6271186440677966</c:v>
                </c:pt>
                <c:pt idx="7">
                  <c:v>0.42857142857142855</c:v>
                </c:pt>
                <c:pt idx="8">
                  <c:v>0.65</c:v>
                </c:pt>
                <c:pt idx="9">
                  <c:v>0.5517241379310345</c:v>
                </c:pt>
                <c:pt idx="10">
                  <c:v>0.5333333333333333</c:v>
                </c:pt>
                <c:pt idx="11">
                  <c:v>0.6140350877192983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Distribution of winning margin (runs)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Matches</c:v>
          </c:tx>
          <c:spPr>
            <a:solidFill>
              <a:srgbClr val="2F6DB5"/>
            </a:solidFill>
          </c:spPr>
          <c:dLbls>
            <c:showVal val="1"/>
          </c:dLbls>
          <c:cat>
            <c:strRef>
              <c:f>Stats!$D$4:$D$10</c:f>
              <c:strCache>
                <c:ptCount val="7"/>
                <c:pt idx="0">
                  <c:v>1-10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41-60</c:v>
                </c:pt>
                <c:pt idx="5">
                  <c:v>61-80</c:v>
                </c:pt>
                <c:pt idx="6">
                  <c:v>81+</c:v>
                </c:pt>
              </c:strCache>
            </c:strRef>
          </c:cat>
          <c:val>
            <c:numRef>
              <c:f>Stats!$E$4:$E$10</c:f>
              <c:numCache>
                <c:formatCode>General</c:formatCode>
                <c:ptCount val="7"/>
                <c:pt idx="0">
                  <c:v>80</c:v>
                </c:pt>
                <c:pt idx="1">
                  <c:v>80</c:v>
                </c:pt>
                <c:pt idx="2">
                  <c:v>56</c:v>
                </c:pt>
                <c:pt idx="3">
                  <c:v>43</c:v>
                </c:pt>
                <c:pt idx="4">
                  <c:v>35</c:v>
                </c:pt>
                <c:pt idx="5">
                  <c:v>20</c:v>
                </c:pt>
                <c:pt idx="6">
                  <c:v>23</c:v>
                </c:pt>
              </c:numCache>
            </c:numRef>
          </c:val>
        </c:ser>
        <c:gapWidth val="20"/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4</xdr:col>
      <xdr:colOff>161925</xdr:colOff>
      <xdr:row>44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11</xdr:col>
      <xdr:colOff>752475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4</xdr:col>
      <xdr:colOff>161925</xdr:colOff>
      <xdr:row>60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45</xdr:row>
      <xdr:rowOff>0</xdr:rowOff>
    </xdr:from>
    <xdr:to>
      <xdr:col>11</xdr:col>
      <xdr:colOff>752475</xdr:colOff>
      <xdr:row>60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4</xdr:col>
      <xdr:colOff>161925</xdr:colOff>
      <xdr:row>76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B13"/>
  <sheetViews>
    <sheetView tabSelected="1" workbookViewId="0"/>
  </sheetViews>
  <sheetFormatPr defaultRowHeight="15"/>
  <cols>
    <col min="2" max="2" width="110.7109375" customWidth="1"/>
  </cols>
  <sheetData>
    <row r="2" spans="2:2">
      <c r="B2" s="1" t="s">
        <v>0</v>
      </c>
    </row>
    <row r="3" spans="2:2">
      <c r="B3" s="2"/>
    </row>
    <row r="4" spans="2:2">
      <c r="B4" s="2" t="s">
        <v>1</v>
      </c>
    </row>
    <row r="5" spans="2:2">
      <c r="B5" s="2"/>
    </row>
    <row r="6" spans="2:2">
      <c r="B6" s="2" t="s">
        <v>2</v>
      </c>
    </row>
    <row r="7" spans="2:2">
      <c r="B7" s="2"/>
    </row>
    <row r="8" spans="2:2">
      <c r="B8" s="3" t="s">
        <v>3</v>
      </c>
    </row>
    <row r="9" spans="2:2">
      <c r="B9" s="2" t="s">
        <v>4</v>
      </c>
    </row>
    <row r="10" spans="2:2">
      <c r="B10" s="2" t="s">
        <v>5</v>
      </c>
    </row>
    <row r="11" spans="2:2">
      <c r="B11" s="2"/>
    </row>
    <row r="12" spans="2:2">
      <c r="B12" s="3" t="s">
        <v>6</v>
      </c>
    </row>
    <row r="13" spans="2:2">
      <c r="B1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8.7109375" customWidth="1"/>
    <col min="3" max="3" width="12.7109375" customWidth="1"/>
    <col min="4" max="4" width="10.7109375" customWidth="1"/>
  </cols>
  <sheetData>
    <row r="1" spans="1:4">
      <c r="A1" s="4" t="s">
        <v>8</v>
      </c>
      <c r="B1" s="4" t="s">
        <v>9</v>
      </c>
      <c r="C1" s="4" t="s">
        <v>10</v>
      </c>
      <c r="D1" s="4" t="s">
        <v>11</v>
      </c>
    </row>
    <row r="2" spans="1:4">
      <c r="A2" t="s">
        <v>12</v>
      </c>
      <c r="B2" t="s">
        <v>13</v>
      </c>
      <c r="C2" t="s">
        <v>14</v>
      </c>
      <c r="D2" t="s">
        <v>15</v>
      </c>
    </row>
    <row r="3" spans="1:4">
      <c r="A3" t="s">
        <v>16</v>
      </c>
      <c r="B3" t="s">
        <v>17</v>
      </c>
      <c r="C3" t="s">
        <v>18</v>
      </c>
      <c r="D3" t="s">
        <v>19</v>
      </c>
    </row>
    <row r="4" spans="1:4">
      <c r="A4" t="s">
        <v>20</v>
      </c>
      <c r="B4" t="s">
        <v>21</v>
      </c>
      <c r="C4" t="s">
        <v>22</v>
      </c>
      <c r="D4" t="s">
        <v>15</v>
      </c>
    </row>
    <row r="5" spans="1:4">
      <c r="A5" t="s">
        <v>23</v>
      </c>
      <c r="B5" t="s">
        <v>24</v>
      </c>
      <c r="C5" t="s">
        <v>25</v>
      </c>
      <c r="D5" t="s">
        <v>19</v>
      </c>
    </row>
    <row r="6" spans="1:4">
      <c r="A6" t="s">
        <v>26</v>
      </c>
      <c r="B6" t="s">
        <v>27</v>
      </c>
      <c r="C6" t="s">
        <v>28</v>
      </c>
      <c r="D6" t="s">
        <v>15</v>
      </c>
    </row>
    <row r="7" spans="1:4">
      <c r="A7" t="s">
        <v>29</v>
      </c>
      <c r="B7" t="s">
        <v>30</v>
      </c>
      <c r="C7" t="s">
        <v>31</v>
      </c>
      <c r="D7" t="s">
        <v>19</v>
      </c>
    </row>
    <row r="8" spans="1:4">
      <c r="A8" t="s">
        <v>32</v>
      </c>
      <c r="B8" t="s">
        <v>33</v>
      </c>
      <c r="C8" t="s">
        <v>34</v>
      </c>
      <c r="D8" t="s">
        <v>15</v>
      </c>
    </row>
    <row r="9" spans="1:4">
      <c r="A9" t="s">
        <v>35</v>
      </c>
      <c r="B9" t="s">
        <v>36</v>
      </c>
      <c r="C9" t="s">
        <v>37</v>
      </c>
      <c r="D9" t="s">
        <v>15</v>
      </c>
    </row>
    <row r="10" spans="1:4">
      <c r="A10" t="s">
        <v>38</v>
      </c>
      <c r="B10" t="s">
        <v>39</v>
      </c>
      <c r="C10" t="s">
        <v>40</v>
      </c>
      <c r="D10" t="s">
        <v>19</v>
      </c>
    </row>
    <row r="11" spans="1:4">
      <c r="A11" t="s">
        <v>41</v>
      </c>
      <c r="B11" t="s">
        <v>42</v>
      </c>
      <c r="C11" t="s">
        <v>43</v>
      </c>
      <c r="D11" t="s">
        <v>15</v>
      </c>
    </row>
    <row r="12" spans="1:4">
      <c r="A12" t="s">
        <v>44</v>
      </c>
      <c r="B12" t="s">
        <v>45</v>
      </c>
      <c r="C12" t="s">
        <v>40</v>
      </c>
      <c r="D12" t="s">
        <v>19</v>
      </c>
    </row>
    <row r="13" spans="1:4">
      <c r="A13" t="s">
        <v>46</v>
      </c>
      <c r="B13" t="s">
        <v>47</v>
      </c>
      <c r="C13" t="s">
        <v>48</v>
      </c>
      <c r="D13" t="s">
        <v>15</v>
      </c>
    </row>
    <row r="14" spans="1:4">
      <c r="A14" t="s">
        <v>49</v>
      </c>
      <c r="B14" t="s">
        <v>50</v>
      </c>
      <c r="C14" t="s">
        <v>18</v>
      </c>
      <c r="D14" t="s">
        <v>15</v>
      </c>
    </row>
  </sheetData>
  <autoFilter ref="A1:D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52.7109375" customWidth="1"/>
    <col min="3" max="3" width="14.7109375" customWidth="1"/>
  </cols>
  <sheetData>
    <row r="1" spans="1:3">
      <c r="A1" s="4" t="s">
        <v>51</v>
      </c>
      <c r="B1" s="4" t="s">
        <v>52</v>
      </c>
      <c r="C1" s="4" t="s">
        <v>53</v>
      </c>
    </row>
    <row r="2" spans="1:3">
      <c r="A2" t="s">
        <v>54</v>
      </c>
      <c r="B2" t="s">
        <v>55</v>
      </c>
      <c r="C2" t="s">
        <v>56</v>
      </c>
    </row>
    <row r="3" spans="1:3">
      <c r="A3" t="s">
        <v>57</v>
      </c>
      <c r="B3" t="s">
        <v>58</v>
      </c>
      <c r="C3" t="s">
        <v>37</v>
      </c>
    </row>
    <row r="4" spans="1:3">
      <c r="A4" t="s">
        <v>59</v>
      </c>
      <c r="B4" t="s">
        <v>60</v>
      </c>
      <c r="C4" t="s">
        <v>61</v>
      </c>
    </row>
    <row r="5" spans="1:3">
      <c r="A5" t="s">
        <v>62</v>
      </c>
      <c r="B5" t="s">
        <v>63</v>
      </c>
      <c r="C5" t="s">
        <v>64</v>
      </c>
    </row>
    <row r="6" spans="1:3">
      <c r="A6" t="s">
        <v>65</v>
      </c>
      <c r="B6" t="s">
        <v>66</v>
      </c>
      <c r="C6" t="s">
        <v>37</v>
      </c>
    </row>
    <row r="7" spans="1:3">
      <c r="A7" t="s">
        <v>67</v>
      </c>
      <c r="B7" t="s">
        <v>68</v>
      </c>
      <c r="C7" t="s">
        <v>69</v>
      </c>
    </row>
    <row r="8" spans="1:3">
      <c r="A8" t="s">
        <v>70</v>
      </c>
      <c r="B8" t="s">
        <v>71</v>
      </c>
      <c r="C8" t="s">
        <v>72</v>
      </c>
    </row>
    <row r="9" spans="1:3">
      <c r="A9" t="s">
        <v>73</v>
      </c>
      <c r="B9" t="s">
        <v>74</v>
      </c>
      <c r="C9" t="s">
        <v>34</v>
      </c>
    </row>
    <row r="10" spans="1:3">
      <c r="A10" t="s">
        <v>75</v>
      </c>
      <c r="B10" t="s">
        <v>76</v>
      </c>
      <c r="C10" t="s">
        <v>22</v>
      </c>
    </row>
    <row r="11" spans="1:3">
      <c r="A11" t="s">
        <v>77</v>
      </c>
      <c r="B11" t="s">
        <v>78</v>
      </c>
      <c r="C11" t="s">
        <v>79</v>
      </c>
    </row>
    <row r="12" spans="1:3">
      <c r="A12" t="s">
        <v>80</v>
      </c>
      <c r="B12" t="s">
        <v>81</v>
      </c>
      <c r="C12" t="s">
        <v>82</v>
      </c>
    </row>
    <row r="13" spans="1:3">
      <c r="A13" t="s">
        <v>83</v>
      </c>
      <c r="B13" t="s">
        <v>84</v>
      </c>
      <c r="C13" t="s">
        <v>85</v>
      </c>
    </row>
    <row r="14" spans="1:3">
      <c r="A14" t="s">
        <v>86</v>
      </c>
      <c r="B14" t="s">
        <v>87</v>
      </c>
      <c r="C14" t="s">
        <v>88</v>
      </c>
    </row>
    <row r="15" spans="1:3">
      <c r="A15" t="s">
        <v>89</v>
      </c>
      <c r="B15" t="s">
        <v>90</v>
      </c>
      <c r="C15" t="s">
        <v>91</v>
      </c>
    </row>
    <row r="16" spans="1:3">
      <c r="A16" t="s">
        <v>92</v>
      </c>
      <c r="B16" t="s">
        <v>93</v>
      </c>
      <c r="C16" t="s">
        <v>48</v>
      </c>
    </row>
    <row r="17" spans="1:3">
      <c r="A17" t="s">
        <v>94</v>
      </c>
      <c r="B17" t="s">
        <v>95</v>
      </c>
      <c r="C17" t="s">
        <v>14</v>
      </c>
    </row>
    <row r="18" spans="1:3">
      <c r="A18" t="s">
        <v>96</v>
      </c>
      <c r="B18" t="s">
        <v>97</v>
      </c>
      <c r="C18" t="s">
        <v>40</v>
      </c>
    </row>
    <row r="19" spans="1:3">
      <c r="A19" t="s">
        <v>98</v>
      </c>
      <c r="B19" t="s">
        <v>99</v>
      </c>
      <c r="C19" t="s">
        <v>31</v>
      </c>
    </row>
    <row r="20" spans="1:3">
      <c r="A20" t="s">
        <v>100</v>
      </c>
      <c r="B20" t="s">
        <v>101</v>
      </c>
      <c r="C20" t="s">
        <v>102</v>
      </c>
    </row>
    <row r="21" spans="1:3">
      <c r="A21" t="s">
        <v>103</v>
      </c>
      <c r="B21" t="s">
        <v>104</v>
      </c>
      <c r="C21" t="s">
        <v>105</v>
      </c>
    </row>
    <row r="22" spans="1:3">
      <c r="A22" t="s">
        <v>106</v>
      </c>
      <c r="B22" t="s">
        <v>107</v>
      </c>
      <c r="C22" t="s">
        <v>108</v>
      </c>
    </row>
    <row r="23" spans="1:3">
      <c r="A23" t="s">
        <v>109</v>
      </c>
      <c r="B23" t="s">
        <v>110</v>
      </c>
      <c r="C23" t="s">
        <v>28</v>
      </c>
    </row>
    <row r="24" spans="1:3">
      <c r="A24" t="s">
        <v>111</v>
      </c>
      <c r="B24" t="s">
        <v>112</v>
      </c>
      <c r="C24" t="s">
        <v>18</v>
      </c>
    </row>
    <row r="25" spans="1:3">
      <c r="A25" t="s">
        <v>113</v>
      </c>
      <c r="B25" t="s">
        <v>114</v>
      </c>
      <c r="C25" t="s">
        <v>115</v>
      </c>
    </row>
    <row r="26" spans="1:3">
      <c r="A26" t="s">
        <v>116</v>
      </c>
      <c r="B26" t="s">
        <v>117</v>
      </c>
      <c r="C26" t="s">
        <v>25</v>
      </c>
    </row>
    <row r="27" spans="1:3">
      <c r="A27" t="s">
        <v>118</v>
      </c>
      <c r="B27" t="s">
        <v>119</v>
      </c>
      <c r="C27" t="s">
        <v>43</v>
      </c>
    </row>
    <row r="28" spans="1:3">
      <c r="A28" t="s">
        <v>120</v>
      </c>
      <c r="B28" t="s">
        <v>121</v>
      </c>
      <c r="C28" t="s">
        <v>122</v>
      </c>
    </row>
    <row r="29" spans="1:3">
      <c r="A29" t="s">
        <v>123</v>
      </c>
      <c r="B29" t="s">
        <v>124</v>
      </c>
      <c r="C29" t="s">
        <v>125</v>
      </c>
    </row>
    <row r="30" spans="1:3">
      <c r="A30" t="s">
        <v>126</v>
      </c>
      <c r="B30" t="s">
        <v>127</v>
      </c>
      <c r="C30" t="s">
        <v>128</v>
      </c>
    </row>
    <row r="31" spans="1:3">
      <c r="A31" t="s">
        <v>129</v>
      </c>
      <c r="B31" t="s">
        <v>130</v>
      </c>
      <c r="C31" t="s">
        <v>131</v>
      </c>
    </row>
    <row r="32" spans="1:3">
      <c r="A32" t="s">
        <v>132</v>
      </c>
      <c r="B32" t="s">
        <v>133</v>
      </c>
      <c r="C32" t="s">
        <v>134</v>
      </c>
    </row>
    <row r="33" spans="1:3">
      <c r="A33" t="s">
        <v>135</v>
      </c>
      <c r="B33" t="s">
        <v>136</v>
      </c>
      <c r="C33" t="s">
        <v>137</v>
      </c>
    </row>
    <row r="34" spans="1:3">
      <c r="A34" t="s">
        <v>138</v>
      </c>
      <c r="B34" t="s">
        <v>139</v>
      </c>
      <c r="C34" t="s">
        <v>37</v>
      </c>
    </row>
  </sheetData>
  <autoFilter ref="A1:C3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0.7109375" customWidth="1"/>
    <col min="2" max="2" width="14.7109375" customWidth="1"/>
  </cols>
  <sheetData>
    <row r="1" spans="1:2">
      <c r="A1" s="4" t="s">
        <v>140</v>
      </c>
      <c r="B1" s="4" t="s">
        <v>141</v>
      </c>
    </row>
    <row r="2" spans="1:2">
      <c r="A2" t="s">
        <v>142</v>
      </c>
      <c r="B2">
        <v>120</v>
      </c>
    </row>
    <row r="3" spans="1:2">
      <c r="A3" t="s">
        <v>143</v>
      </c>
      <c r="B3">
        <v>334</v>
      </c>
    </row>
    <row r="4" spans="1:2">
      <c r="A4" t="s">
        <v>144</v>
      </c>
      <c r="B4">
        <v>225</v>
      </c>
    </row>
    <row r="5" spans="1:2">
      <c r="A5" t="s">
        <v>145</v>
      </c>
      <c r="B5">
        <v>7</v>
      </c>
    </row>
    <row r="6" spans="1:2">
      <c r="A6" t="s">
        <v>146</v>
      </c>
      <c r="B6">
        <v>4</v>
      </c>
    </row>
  </sheetData>
  <autoFilter ref="A1:B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9.7109375" customWidth="1"/>
    <col min="2" max="2" width="8.7109375" customWidth="1"/>
    <col min="3" max="3" width="11.7109375" customWidth="1"/>
    <col min="4" max="4" width="13.7109375" customWidth="1"/>
    <col min="5" max="6" width="8.7109375" customWidth="1"/>
    <col min="7" max="7" width="10.7109375" customWidth="1"/>
    <col min="8" max="8" width="9.7109375" customWidth="1"/>
    <col min="9" max="9" width="10.7109375" customWidth="1"/>
    <col min="10" max="10" width="8.7109375" customWidth="1"/>
    <col min="11" max="13" width="9.7109375" customWidth="1"/>
    <col min="14" max="14" width="18.7109375" customWidth="1"/>
    <col min="15" max="15" width="8.7109375" customWidth="1"/>
    <col min="16" max="19" width="24.7109375" customWidth="1"/>
    <col min="20" max="20" width="36.7109375" customWidth="1"/>
    <col min="21" max="21" width="12.7109375" customWidth="1"/>
    <col min="22" max="22" width="13.7109375" customWidth="1"/>
    <col min="23" max="25" width="10.7109375" customWidth="1"/>
    <col min="26" max="26" width="38.7109375" customWidth="1"/>
  </cols>
  <sheetData>
    <row r="1" spans="1:26" ht="30" customHeight="1" x14ac:dyDescent="0.25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  <c r="G1" s="4" t="s">
        <v>153</v>
      </c>
      <c r="H1" s="4" t="s">
        <v>154</v>
      </c>
      <c r="I1" s="4" t="s">
        <v>155</v>
      </c>
      <c r="J1" s="4" t="s">
        <v>156</v>
      </c>
      <c r="K1" s="4" t="s">
        <v>157</v>
      </c>
      <c r="L1" s="4" t="s">
        <v>158</v>
      </c>
      <c r="M1" s="4" t="s">
        <v>159</v>
      </c>
      <c r="N1" s="4" t="s">
        <v>160</v>
      </c>
      <c r="O1" s="4" t="s">
        <v>51</v>
      </c>
      <c r="P1" s="4" t="s">
        <v>161</v>
      </c>
      <c r="Q1" s="4" t="s">
        <v>162</v>
      </c>
      <c r="R1" s="4" t="s">
        <v>163</v>
      </c>
      <c r="S1" s="4" t="s">
        <v>164</v>
      </c>
      <c r="T1" s="4" t="s">
        <v>165</v>
      </c>
      <c r="U1" s="4" t="s">
        <v>166</v>
      </c>
      <c r="V1" s="4" t="s">
        <v>167</v>
      </c>
      <c r="W1" s="4" t="s">
        <v>168</v>
      </c>
      <c r="X1" s="4" t="s">
        <v>169</v>
      </c>
      <c r="Y1" s="4" t="s">
        <v>170</v>
      </c>
      <c r="Z1" s="4" t="s">
        <v>171</v>
      </c>
    </row>
    <row r="2" spans="1:26" x14ac:dyDescent="0.25">
      <c r="A2">
        <v>60</v>
      </c>
      <c r="B2">
        <v>2008</v>
      </c>
      <c r="C2" s="5">
        <v>39556</v>
      </c>
      <c r="D2" t="s">
        <v>172</v>
      </c>
      <c r="E2" t="s">
        <v>32</v>
      </c>
      <c r="F2" t="s">
        <v>46</v>
      </c>
      <c r="G2" t="s">
        <v>46</v>
      </c>
      <c r="H2" t="s">
        <v>173</v>
      </c>
      <c r="I2" t="s">
        <v>174</v>
      </c>
      <c r="J2">
        <v>0</v>
      </c>
      <c r="K2" t="s">
        <v>32</v>
      </c>
      <c r="L2">
        <v>140</v>
      </c>
      <c r="M2">
        <v>0</v>
      </c>
      <c r="N2" t="s">
        <v>175</v>
      </c>
      <c r="O2" t="s">
        <v>92</v>
      </c>
      <c r="P2" t="str">
        <f>INDEX(Teams!$B:$B,MATCH(E2,Teams!$A:$A,0))</f>
        <v>Kolkata Knight Riders</v>
      </c>
      <c r="Q2" t="str">
        <f>INDEX(Teams!$B:$B,MATCH(F2,Teams!$A:$A,0))</f>
        <v>Royal Challengers Bangalore</v>
      </c>
      <c r="R2" t="str">
        <f>INDEX(Teams!$B:$B,MATCH(G2,Teams!$A:$A,0))</f>
        <v>Royal Challengers Bangalore</v>
      </c>
      <c r="S2" t="str">
        <f>IF(K2="","No result",INDEX(Teams!$B:$B,MATCH(K2,Teams!$A:$A,0)))</f>
        <v>Kolkata Knight Riders</v>
      </c>
      <c r="T2" t="str">
        <f>INDEX(Venues!$B:$B,MATCH(O2,Venues!$A:$A,0))</f>
        <v>M Chinnaswamy Stadium</v>
      </c>
      <c r="U2" t="str">
        <f>INDEX(Venues!$C:$C,MATCH(O2,Venues!$A:$A,0))</f>
        <v>Bangalore</v>
      </c>
      <c r="V2" t="str">
        <f>IF(L2&gt;0,L2&amp;" runs",IF(M2&gt;0,M2&amp;" wickets","-"))</f>
        <v>140 runs</v>
      </c>
      <c r="W2">
        <f>IF(G2=K2,1,0)</f>
        <v>0</v>
      </c>
      <c r="X2">
        <f>IF(L2&gt;0,L2,"")</f>
        <v>140</v>
      </c>
      <c r="Y2" t="str">
        <f>IF(X2="","",IF(X2&gt;Stats!$B$15,"Outlier",""))</f>
        <v>Outlier</v>
      </c>
      <c r="Z2" t="str">
        <f>P2&amp;" vs "&amp;Q2</f>
        <v>Kolkata Knight Riders vs Royal Challengers Bangalore</v>
      </c>
    </row>
    <row r="3" spans="1:26" x14ac:dyDescent="0.25">
      <c r="A3">
        <v>61</v>
      </c>
      <c r="B3">
        <v>2008</v>
      </c>
      <c r="C3" s="5">
        <v>39557</v>
      </c>
      <c r="D3" t="s">
        <v>172</v>
      </c>
      <c r="E3" t="s">
        <v>12</v>
      </c>
      <c r="F3" t="s">
        <v>26</v>
      </c>
      <c r="G3" t="s">
        <v>12</v>
      </c>
      <c r="H3" t="s">
        <v>176</v>
      </c>
      <c r="I3" t="s">
        <v>174</v>
      </c>
      <c r="J3">
        <v>0</v>
      </c>
      <c r="K3" t="s">
        <v>12</v>
      </c>
      <c r="L3">
        <v>33</v>
      </c>
      <c r="M3">
        <v>0</v>
      </c>
      <c r="N3" t="s">
        <v>177</v>
      </c>
      <c r="O3" t="s">
        <v>109</v>
      </c>
      <c r="P3" t="str">
        <f>INDEX(Teams!$B:$B,MATCH(E3,Teams!$A:$A,0))</f>
        <v>Chennai Super Kings</v>
      </c>
      <c r="Q3" t="str">
        <f>INDEX(Teams!$B:$B,MATCH(F3,Teams!$A:$A,0))</f>
        <v>Kings XI Punjab</v>
      </c>
      <c r="R3" t="str">
        <f>INDEX(Teams!$B:$B,MATCH(G3,Teams!$A:$A,0))</f>
        <v>Chennai Super Kings</v>
      </c>
      <c r="S3" t="str">
        <f>IF(K3="","No result",INDEX(Teams!$B:$B,MATCH(K3,Teams!$A:$A,0)))</f>
        <v>Chennai Super Kings</v>
      </c>
      <c r="T3" t="str">
        <f>INDEX(Venues!$B:$B,MATCH(O3,Venues!$A:$A,0))</f>
        <v>Punjab Cricket Association IS Bindra Stadium</v>
      </c>
      <c r="U3" t="str">
        <f>INDEX(Venues!$C:$C,MATCH(O3,Venues!$A:$A,0))</f>
        <v>Chandigarh</v>
      </c>
      <c r="V3" t="str">
        <f>IF(L3&gt;0,L3&amp;" runs",IF(M3&gt;0,M3&amp;" wickets","-"))</f>
        <v>33 runs</v>
      </c>
      <c r="W3">
        <f>IF(G3=K3,1,0)</f>
        <v>1</v>
      </c>
      <c r="X3">
        <f>IF(L3&gt;0,L3,"")</f>
        <v>33</v>
      </c>
      <c r="Y3">
        <f>IF(X3="","",IF(X3&gt;Stats!$B$15,"Outlier",""))</f>
        <v/>
      </c>
      <c r="Z3" t="str">
        <f>P3&amp;" vs "&amp;Q3</f>
        <v>Chennai Super Kings vs Kings XI Punjab</v>
      </c>
    </row>
    <row r="4" spans="1:26" x14ac:dyDescent="0.25">
      <c r="A4">
        <v>62</v>
      </c>
      <c r="B4">
        <v>2008</v>
      </c>
      <c r="C4" s="5">
        <v>39557</v>
      </c>
      <c r="D4" t="s">
        <v>172</v>
      </c>
      <c r="E4" t="s">
        <v>41</v>
      </c>
      <c r="F4" t="s">
        <v>20</v>
      </c>
      <c r="G4" t="s">
        <v>41</v>
      </c>
      <c r="H4" t="s">
        <v>176</v>
      </c>
      <c r="I4" t="s">
        <v>174</v>
      </c>
      <c r="J4">
        <v>0</v>
      </c>
      <c r="K4" t="s">
        <v>20</v>
      </c>
      <c r="L4">
        <v>0</v>
      </c>
      <c r="M4">
        <v>9</v>
      </c>
      <c r="N4" t="s">
        <v>178</v>
      </c>
      <c r="O4" t="s">
        <v>75</v>
      </c>
      <c r="P4" t="str">
        <f>INDEX(Teams!$B:$B,MATCH(E4,Teams!$A:$A,0))</f>
        <v>Rajasthan Royals</v>
      </c>
      <c r="Q4" t="str">
        <f>INDEX(Teams!$B:$B,MATCH(F4,Teams!$A:$A,0))</f>
        <v>Delhi Capitals</v>
      </c>
      <c r="R4" t="str">
        <f>INDEX(Teams!$B:$B,MATCH(G4,Teams!$A:$A,0))</f>
        <v>Rajasthan Royals</v>
      </c>
      <c r="S4" t="str">
        <f>IF(K4="","No result",INDEX(Teams!$B:$B,MATCH(K4,Teams!$A:$A,0)))</f>
        <v>Delhi Capitals</v>
      </c>
      <c r="T4" t="str">
        <f>INDEX(Venues!$B:$B,MATCH(O4,Venues!$A:$A,0))</f>
        <v>Feroz Shah Kotla</v>
      </c>
      <c r="U4" t="str">
        <f>INDEX(Venues!$C:$C,MATCH(O4,Venues!$A:$A,0))</f>
        <v>Delhi</v>
      </c>
      <c r="V4" t="str">
        <f>IF(L4&gt;0,L4&amp;" runs",IF(M4&gt;0,M4&amp;" wickets","-"))</f>
        <v>9 wickets</v>
      </c>
      <c r="W4">
        <f>IF(G4=K4,1,0)</f>
        <v>0</v>
      </c>
      <c r="X4">
        <f>IF(L4&gt;0,L4,"")</f>
        <v/>
      </c>
      <c r="Y4">
        <f>IF(X4="","",IF(X4&gt;Stats!$B$15,"Outlier",""))</f>
        <v/>
      </c>
      <c r="Z4" t="str">
        <f>P4&amp;" vs "&amp;Q4</f>
        <v>Rajasthan Royals vs Delhi Capitals</v>
      </c>
    </row>
    <row r="5" spans="1:26" x14ac:dyDescent="0.25">
      <c r="A5">
        <v>63</v>
      </c>
      <c r="B5">
        <v>2008</v>
      </c>
      <c r="C5" s="5">
        <v>39558</v>
      </c>
      <c r="D5" t="s">
        <v>172</v>
      </c>
      <c r="E5" t="s">
        <v>35</v>
      </c>
      <c r="F5" t="s">
        <v>46</v>
      </c>
      <c r="G5" t="s">
        <v>35</v>
      </c>
      <c r="H5" t="s">
        <v>176</v>
      </c>
      <c r="I5" t="s">
        <v>174</v>
      </c>
      <c r="J5">
        <v>0</v>
      </c>
      <c r="K5" t="s">
        <v>46</v>
      </c>
      <c r="L5">
        <v>0</v>
      </c>
      <c r="M5">
        <v>5</v>
      </c>
      <c r="N5" t="s">
        <v>179</v>
      </c>
      <c r="O5" t="s">
        <v>138</v>
      </c>
      <c r="P5" t="str">
        <f>INDEX(Teams!$B:$B,MATCH(E5,Teams!$A:$A,0))</f>
        <v>Mumbai Indians</v>
      </c>
      <c r="Q5" t="str">
        <f>INDEX(Teams!$B:$B,MATCH(F5,Teams!$A:$A,0))</f>
        <v>Royal Challengers Bangalore</v>
      </c>
      <c r="R5" t="str">
        <f>INDEX(Teams!$B:$B,MATCH(G5,Teams!$A:$A,0))</f>
        <v>Mumbai Indians</v>
      </c>
      <c r="S5" t="str">
        <f>IF(K5="","No result",INDEX(Teams!$B:$B,MATCH(K5,Teams!$A:$A,0)))</f>
        <v>Royal Challengers Bangalore</v>
      </c>
      <c r="T5" t="str">
        <f>INDEX(Venues!$B:$B,MATCH(O5,Venues!$A:$A,0))</f>
        <v>Wankhede Stadium</v>
      </c>
      <c r="U5" t="str">
        <f>INDEX(Venues!$C:$C,MATCH(O5,Venues!$A:$A,0))</f>
        <v>Mumbai</v>
      </c>
      <c r="V5" t="str">
        <f>IF(L5&gt;0,L5&amp;" runs",IF(M5&gt;0,M5&amp;" wickets","-"))</f>
        <v>5 wickets</v>
      </c>
      <c r="W5">
        <f>IF(G5=K5,1,0)</f>
        <v>0</v>
      </c>
      <c r="X5">
        <f>IF(L5&gt;0,L5,"")</f>
        <v/>
      </c>
      <c r="Y5">
        <f>IF(X5="","",IF(X5&gt;Stats!$B$15,"Outlier",""))</f>
        <v/>
      </c>
      <c r="Z5" t="str">
        <f>P5&amp;" vs "&amp;Q5</f>
        <v>Mumbai Indians vs Royal Challengers Bangalore</v>
      </c>
    </row>
    <row r="6" spans="1:26" x14ac:dyDescent="0.25">
      <c r="A6">
        <v>64</v>
      </c>
      <c r="B6">
        <v>2008</v>
      </c>
      <c r="C6" s="5">
        <v>39558</v>
      </c>
      <c r="D6" t="s">
        <v>172</v>
      </c>
      <c r="E6" t="s">
        <v>16</v>
      </c>
      <c r="F6" t="s">
        <v>32</v>
      </c>
      <c r="G6" t="s">
        <v>16</v>
      </c>
      <c r="H6" t="s">
        <v>176</v>
      </c>
      <c r="I6" t="s">
        <v>174</v>
      </c>
      <c r="J6">
        <v>0</v>
      </c>
      <c r="K6" t="s">
        <v>32</v>
      </c>
      <c r="L6">
        <v>0</v>
      </c>
      <c r="M6">
        <v>5</v>
      </c>
      <c r="N6" t="s">
        <v>180</v>
      </c>
      <c r="O6" t="s">
        <v>73</v>
      </c>
      <c r="P6" t="str">
        <f>INDEX(Teams!$B:$B,MATCH(E6,Teams!$A:$A,0))</f>
        <v>Deccan Chargers</v>
      </c>
      <c r="Q6" t="str">
        <f>INDEX(Teams!$B:$B,MATCH(F6,Teams!$A:$A,0))</f>
        <v>Kolkata Knight Riders</v>
      </c>
      <c r="R6" t="str">
        <f>INDEX(Teams!$B:$B,MATCH(G6,Teams!$A:$A,0))</f>
        <v>Deccan Chargers</v>
      </c>
      <c r="S6" t="str">
        <f>IF(K6="","No result",INDEX(Teams!$B:$B,MATCH(K6,Teams!$A:$A,0)))</f>
        <v>Kolkata Knight Riders</v>
      </c>
      <c r="T6" t="str">
        <f>INDEX(Venues!$B:$B,MATCH(O6,Venues!$A:$A,0))</f>
        <v>Eden Gardens</v>
      </c>
      <c r="U6" t="str">
        <f>INDEX(Venues!$C:$C,MATCH(O6,Venues!$A:$A,0))</f>
        <v>Kolkata</v>
      </c>
      <c r="V6" t="str">
        <f>IF(L6&gt;0,L6&amp;" runs",IF(M6&gt;0,M6&amp;" wickets","-"))</f>
        <v>5 wickets</v>
      </c>
      <c r="W6">
        <f>IF(G6=K6,1,0)</f>
        <v>0</v>
      </c>
      <c r="X6">
        <f>IF(L6&gt;0,L6,"")</f>
        <v/>
      </c>
      <c r="Y6">
        <f>IF(X6="","",IF(X6&gt;Stats!$B$15,"Outlier",""))</f>
        <v/>
      </c>
      <c r="Z6" t="str">
        <f>P6&amp;" vs "&amp;Q6</f>
        <v>Deccan Chargers vs Kolkata Knight Riders</v>
      </c>
    </row>
    <row r="7" spans="1:26" x14ac:dyDescent="0.25">
      <c r="A7">
        <v>65</v>
      </c>
      <c r="B7">
        <v>2008</v>
      </c>
      <c r="C7" s="5">
        <v>39559</v>
      </c>
      <c r="D7" t="s">
        <v>172</v>
      </c>
      <c r="E7" t="s">
        <v>26</v>
      </c>
      <c r="F7" t="s">
        <v>41</v>
      </c>
      <c r="G7" t="s">
        <v>26</v>
      </c>
      <c r="H7" t="s">
        <v>176</v>
      </c>
      <c r="I7" t="s">
        <v>174</v>
      </c>
      <c r="J7">
        <v>0</v>
      </c>
      <c r="K7" t="s">
        <v>41</v>
      </c>
      <c r="L7">
        <v>0</v>
      </c>
      <c r="M7">
        <v>6</v>
      </c>
      <c r="N7" t="s">
        <v>181</v>
      </c>
      <c r="O7" t="s">
        <v>118</v>
      </c>
      <c r="P7" t="str">
        <f>INDEX(Teams!$B:$B,MATCH(E7,Teams!$A:$A,0))</f>
        <v>Kings XI Punjab</v>
      </c>
      <c r="Q7" t="str">
        <f>INDEX(Teams!$B:$B,MATCH(F7,Teams!$A:$A,0))</f>
        <v>Rajasthan Royals</v>
      </c>
      <c r="R7" t="str">
        <f>INDEX(Teams!$B:$B,MATCH(G7,Teams!$A:$A,0))</f>
        <v>Kings XI Punjab</v>
      </c>
      <c r="S7" t="str">
        <f>IF(K7="","No result",INDEX(Teams!$B:$B,MATCH(K7,Teams!$A:$A,0)))</f>
        <v>Rajasthan Royals</v>
      </c>
      <c r="T7" t="str">
        <f>INDEX(Venues!$B:$B,MATCH(O7,Venues!$A:$A,0))</f>
        <v>Sawai Mansingh Stadium</v>
      </c>
      <c r="U7" t="str">
        <f>INDEX(Venues!$C:$C,MATCH(O7,Venues!$A:$A,0))</f>
        <v>Jaipur</v>
      </c>
      <c r="V7" t="str">
        <f>IF(L7&gt;0,L7&amp;" runs",IF(M7&gt;0,M7&amp;" wickets","-"))</f>
        <v>6 wickets</v>
      </c>
      <c r="W7">
        <f>IF(G7=K7,1,0)</f>
        <v>0</v>
      </c>
      <c r="X7">
        <f>IF(L7&gt;0,L7,"")</f>
        <v/>
      </c>
      <c r="Y7">
        <f>IF(X7="","",IF(X7&gt;Stats!$B$15,"Outlier",""))</f>
        <v/>
      </c>
      <c r="Z7" t="str">
        <f>P7&amp;" vs "&amp;Q7</f>
        <v>Kings XI Punjab vs Rajasthan Royals</v>
      </c>
    </row>
    <row r="8" spans="1:26" x14ac:dyDescent="0.25">
      <c r="A8">
        <v>66</v>
      </c>
      <c r="B8">
        <v>2008</v>
      </c>
      <c r="C8" s="5">
        <v>39560</v>
      </c>
      <c r="D8" t="s">
        <v>172</v>
      </c>
      <c r="E8" t="s">
        <v>16</v>
      </c>
      <c r="F8" t="s">
        <v>20</v>
      </c>
      <c r="G8" t="s">
        <v>16</v>
      </c>
      <c r="H8" t="s">
        <v>176</v>
      </c>
      <c r="I8" t="s">
        <v>174</v>
      </c>
      <c r="J8">
        <v>0</v>
      </c>
      <c r="K8" t="s">
        <v>20</v>
      </c>
      <c r="L8">
        <v>0</v>
      </c>
      <c r="M8">
        <v>9</v>
      </c>
      <c r="N8" t="s">
        <v>182</v>
      </c>
      <c r="O8" t="s">
        <v>111</v>
      </c>
      <c r="P8" t="str">
        <f>INDEX(Teams!$B:$B,MATCH(E8,Teams!$A:$A,0))</f>
        <v>Deccan Chargers</v>
      </c>
      <c r="Q8" t="str">
        <f>INDEX(Teams!$B:$B,MATCH(F8,Teams!$A:$A,0))</f>
        <v>Delhi Capitals</v>
      </c>
      <c r="R8" t="str">
        <f>INDEX(Teams!$B:$B,MATCH(G8,Teams!$A:$A,0))</f>
        <v>Deccan Chargers</v>
      </c>
      <c r="S8" t="str">
        <f>IF(K8="","No result",INDEX(Teams!$B:$B,MATCH(K8,Teams!$A:$A,0)))</f>
        <v>Delhi Capitals</v>
      </c>
      <c r="T8" t="str">
        <f>INDEX(Venues!$B:$B,MATCH(O8,Venues!$A:$A,0))</f>
        <v>Rajiv Gandhi International Stadium</v>
      </c>
      <c r="U8" t="str">
        <f>INDEX(Venues!$C:$C,MATCH(O8,Venues!$A:$A,0))</f>
        <v>Hyderabad</v>
      </c>
      <c r="V8" t="str">
        <f>IF(L8&gt;0,L8&amp;" runs",IF(M8&gt;0,M8&amp;" wickets","-"))</f>
        <v>9 wickets</v>
      </c>
      <c r="W8">
        <f>IF(G8=K8,1,0)</f>
        <v>0</v>
      </c>
      <c r="X8">
        <f>IF(L8&gt;0,L8,"")</f>
        <v/>
      </c>
      <c r="Y8">
        <f>IF(X8="","",IF(X8&gt;Stats!$B$15,"Outlier",""))</f>
        <v/>
      </c>
      <c r="Z8" t="str">
        <f>P8&amp;" vs "&amp;Q8</f>
        <v>Deccan Chargers vs Delhi Capitals</v>
      </c>
    </row>
    <row r="9" spans="1:26" x14ac:dyDescent="0.25">
      <c r="A9">
        <v>67</v>
      </c>
      <c r="B9">
        <v>2008</v>
      </c>
      <c r="C9" s="5">
        <v>39561</v>
      </c>
      <c r="D9" t="s">
        <v>172</v>
      </c>
      <c r="E9" t="s">
        <v>12</v>
      </c>
      <c r="F9" t="s">
        <v>35</v>
      </c>
      <c r="G9" t="s">
        <v>35</v>
      </c>
      <c r="H9" t="s">
        <v>173</v>
      </c>
      <c r="I9" t="s">
        <v>174</v>
      </c>
      <c r="J9">
        <v>0</v>
      </c>
      <c r="K9" t="s">
        <v>12</v>
      </c>
      <c r="L9">
        <v>6</v>
      </c>
      <c r="M9">
        <v>0</v>
      </c>
      <c r="N9" t="s">
        <v>183</v>
      </c>
      <c r="O9" t="s">
        <v>94</v>
      </c>
      <c r="P9" t="str">
        <f>INDEX(Teams!$B:$B,MATCH(E9,Teams!$A:$A,0))</f>
        <v>Chennai Super Kings</v>
      </c>
      <c r="Q9" t="str">
        <f>INDEX(Teams!$B:$B,MATCH(F9,Teams!$A:$A,0))</f>
        <v>Mumbai Indians</v>
      </c>
      <c r="R9" t="str">
        <f>INDEX(Teams!$B:$B,MATCH(G9,Teams!$A:$A,0))</f>
        <v>Mumbai Indians</v>
      </c>
      <c r="S9" t="str">
        <f>IF(K9="","No result",INDEX(Teams!$B:$B,MATCH(K9,Teams!$A:$A,0)))</f>
        <v>Chennai Super Kings</v>
      </c>
      <c r="T9" t="str">
        <f>INDEX(Venues!$B:$B,MATCH(O9,Venues!$A:$A,0))</f>
        <v>MA Chidambaram Stadium</v>
      </c>
      <c r="U9" t="str">
        <f>INDEX(Venues!$C:$C,MATCH(O9,Venues!$A:$A,0))</f>
        <v>Chennai</v>
      </c>
      <c r="V9" t="str">
        <f>IF(L9&gt;0,L9&amp;" runs",IF(M9&gt;0,M9&amp;" wickets","-"))</f>
        <v>6 runs</v>
      </c>
      <c r="W9">
        <f>IF(G9=K9,1,0)</f>
        <v>0</v>
      </c>
      <c r="X9">
        <f>IF(L9&gt;0,L9,"")</f>
        <v>6</v>
      </c>
      <c r="Y9">
        <f>IF(X9="","",IF(X9&gt;Stats!$B$15,"Outlier",""))</f>
        <v/>
      </c>
      <c r="Z9" t="str">
        <f>P9&amp;" vs "&amp;Q9</f>
        <v>Chennai Super Kings vs Mumbai Indians</v>
      </c>
    </row>
    <row r="10" spans="1:26" x14ac:dyDescent="0.25">
      <c r="A10">
        <v>68</v>
      </c>
      <c r="B10">
        <v>2008</v>
      </c>
      <c r="C10" s="5">
        <v>39562</v>
      </c>
      <c r="D10" t="s">
        <v>172</v>
      </c>
      <c r="E10" t="s">
        <v>16</v>
      </c>
      <c r="F10" t="s">
        <v>41</v>
      </c>
      <c r="G10" t="s">
        <v>41</v>
      </c>
      <c r="H10" t="s">
        <v>173</v>
      </c>
      <c r="I10" t="s">
        <v>174</v>
      </c>
      <c r="J10">
        <v>0</v>
      </c>
      <c r="K10" t="s">
        <v>41</v>
      </c>
      <c r="L10">
        <v>0</v>
      </c>
      <c r="M10">
        <v>3</v>
      </c>
      <c r="N10" t="s">
        <v>184</v>
      </c>
      <c r="O10" t="s">
        <v>111</v>
      </c>
      <c r="P10" t="str">
        <f>INDEX(Teams!$B:$B,MATCH(E10,Teams!$A:$A,0))</f>
        <v>Deccan Chargers</v>
      </c>
      <c r="Q10" t="str">
        <f>INDEX(Teams!$B:$B,MATCH(F10,Teams!$A:$A,0))</f>
        <v>Rajasthan Royals</v>
      </c>
      <c r="R10" t="str">
        <f>INDEX(Teams!$B:$B,MATCH(G10,Teams!$A:$A,0))</f>
        <v>Rajasthan Royals</v>
      </c>
      <c r="S10" t="str">
        <f>IF(K10="","No result",INDEX(Teams!$B:$B,MATCH(K10,Teams!$A:$A,0)))</f>
        <v>Rajasthan Royals</v>
      </c>
      <c r="T10" t="str">
        <f>INDEX(Venues!$B:$B,MATCH(O10,Venues!$A:$A,0))</f>
        <v>Rajiv Gandhi International Stadium</v>
      </c>
      <c r="U10" t="str">
        <f>INDEX(Venues!$C:$C,MATCH(O10,Venues!$A:$A,0))</f>
        <v>Hyderabad</v>
      </c>
      <c r="V10" t="str">
        <f>IF(L10&gt;0,L10&amp;" runs",IF(M10&gt;0,M10&amp;" wickets","-"))</f>
        <v>3 wickets</v>
      </c>
      <c r="W10">
        <f>IF(G10=K10,1,0)</f>
        <v>1</v>
      </c>
      <c r="X10">
        <f>IF(L10&gt;0,L10,"")</f>
        <v/>
      </c>
      <c r="Y10">
        <f>IF(X10="","",IF(X10&gt;Stats!$B$15,"Outlier",""))</f>
        <v/>
      </c>
      <c r="Z10" t="str">
        <f>P10&amp;" vs "&amp;Q10</f>
        <v>Deccan Chargers vs Rajasthan Royals</v>
      </c>
    </row>
    <row r="11" spans="1:26" x14ac:dyDescent="0.25">
      <c r="A11">
        <v>69</v>
      </c>
      <c r="B11">
        <v>2008</v>
      </c>
      <c r="C11" s="5">
        <v>39563</v>
      </c>
      <c r="D11" t="s">
        <v>172</v>
      </c>
      <c r="E11" t="s">
        <v>26</v>
      </c>
      <c r="F11" t="s">
        <v>35</v>
      </c>
      <c r="G11" t="s">
        <v>35</v>
      </c>
      <c r="H11" t="s">
        <v>173</v>
      </c>
      <c r="I11" t="s">
        <v>174</v>
      </c>
      <c r="J11">
        <v>0</v>
      </c>
      <c r="K11" t="s">
        <v>26</v>
      </c>
      <c r="L11">
        <v>66</v>
      </c>
      <c r="M11">
        <v>0</v>
      </c>
      <c r="N11" t="s">
        <v>185</v>
      </c>
      <c r="O11" t="s">
        <v>109</v>
      </c>
      <c r="P11" t="str">
        <f>INDEX(Teams!$B:$B,MATCH(E11,Teams!$A:$A,0))</f>
        <v>Kings XI Punjab</v>
      </c>
      <c r="Q11" t="str">
        <f>INDEX(Teams!$B:$B,MATCH(F11,Teams!$A:$A,0))</f>
        <v>Mumbai Indians</v>
      </c>
      <c r="R11" t="str">
        <f>INDEX(Teams!$B:$B,MATCH(G11,Teams!$A:$A,0))</f>
        <v>Mumbai Indians</v>
      </c>
      <c r="S11" t="str">
        <f>IF(K11="","No result",INDEX(Teams!$B:$B,MATCH(K11,Teams!$A:$A,0)))</f>
        <v>Kings XI Punjab</v>
      </c>
      <c r="T11" t="str">
        <f>INDEX(Venues!$B:$B,MATCH(O11,Venues!$A:$A,0))</f>
        <v>Punjab Cricket Association IS Bindra Stadium</v>
      </c>
      <c r="U11" t="str">
        <f>INDEX(Venues!$C:$C,MATCH(O11,Venues!$A:$A,0))</f>
        <v>Chandigarh</v>
      </c>
      <c r="V11" t="str">
        <f>IF(L11&gt;0,L11&amp;" runs",IF(M11&gt;0,M11&amp;" wickets","-"))</f>
        <v>66 runs</v>
      </c>
      <c r="W11">
        <f>IF(G11=K11,1,0)</f>
        <v>0</v>
      </c>
      <c r="X11">
        <f>IF(L11&gt;0,L11,"")</f>
        <v>66</v>
      </c>
      <c r="Y11">
        <f>IF(X11="","",IF(X11&gt;Stats!$B$15,"Outlier",""))</f>
        <v/>
      </c>
      <c r="Z11" t="str">
        <f>P11&amp;" vs "&amp;Q11</f>
        <v>Kings XI Punjab vs Mumbai Indians</v>
      </c>
    </row>
    <row r="12" spans="1:26" x14ac:dyDescent="0.25">
      <c r="A12">
        <v>70</v>
      </c>
      <c r="B12">
        <v>2008</v>
      </c>
      <c r="C12" s="5">
        <v>39564</v>
      </c>
      <c r="D12" t="s">
        <v>172</v>
      </c>
      <c r="E12" t="s">
        <v>46</v>
      </c>
      <c r="F12" t="s">
        <v>41</v>
      </c>
      <c r="G12" t="s">
        <v>41</v>
      </c>
      <c r="H12" t="s">
        <v>173</v>
      </c>
      <c r="I12" t="s">
        <v>174</v>
      </c>
      <c r="J12">
        <v>0</v>
      </c>
      <c r="K12" t="s">
        <v>41</v>
      </c>
      <c r="L12">
        <v>0</v>
      </c>
      <c r="M12">
        <v>7</v>
      </c>
      <c r="N12" t="s">
        <v>181</v>
      </c>
      <c r="O12" t="s">
        <v>92</v>
      </c>
      <c r="P12" t="str">
        <f>INDEX(Teams!$B:$B,MATCH(E12,Teams!$A:$A,0))</f>
        <v>Royal Challengers Bangalore</v>
      </c>
      <c r="Q12" t="str">
        <f>INDEX(Teams!$B:$B,MATCH(F12,Teams!$A:$A,0))</f>
        <v>Rajasthan Royals</v>
      </c>
      <c r="R12" t="str">
        <f>INDEX(Teams!$B:$B,MATCH(G12,Teams!$A:$A,0))</f>
        <v>Rajasthan Royals</v>
      </c>
      <c r="S12" t="str">
        <f>IF(K12="","No result",INDEX(Teams!$B:$B,MATCH(K12,Teams!$A:$A,0)))</f>
        <v>Rajasthan Royals</v>
      </c>
      <c r="T12" t="str">
        <f>INDEX(Venues!$B:$B,MATCH(O12,Venues!$A:$A,0))</f>
        <v>M Chinnaswamy Stadium</v>
      </c>
      <c r="U12" t="str">
        <f>INDEX(Venues!$C:$C,MATCH(O12,Venues!$A:$A,0))</f>
        <v>Bangalore</v>
      </c>
      <c r="V12" t="str">
        <f>IF(L12&gt;0,L12&amp;" runs",IF(M12&gt;0,M12&amp;" wickets","-"))</f>
        <v>7 wickets</v>
      </c>
      <c r="W12">
        <f>IF(G12=K12,1,0)</f>
        <v>1</v>
      </c>
      <c r="X12">
        <f>IF(L12&gt;0,L12,"")</f>
        <v/>
      </c>
      <c r="Y12">
        <f>IF(X12="","",IF(X12&gt;Stats!$B$15,"Outlier",""))</f>
        <v/>
      </c>
      <c r="Z12" t="str">
        <f>P12&amp;" vs "&amp;Q12</f>
        <v>Royal Challengers Bangalore vs Rajasthan Royals</v>
      </c>
    </row>
    <row r="13" spans="1:26" x14ac:dyDescent="0.25">
      <c r="A13">
        <v>71</v>
      </c>
      <c r="B13">
        <v>2008</v>
      </c>
      <c r="C13" s="5">
        <v>39564</v>
      </c>
      <c r="D13" t="s">
        <v>172</v>
      </c>
      <c r="E13" t="s">
        <v>32</v>
      </c>
      <c r="F13" t="s">
        <v>12</v>
      </c>
      <c r="G13" t="s">
        <v>32</v>
      </c>
      <c r="H13" t="s">
        <v>176</v>
      </c>
      <c r="I13" t="s">
        <v>174</v>
      </c>
      <c r="J13">
        <v>0</v>
      </c>
      <c r="K13" t="s">
        <v>12</v>
      </c>
      <c r="L13">
        <v>0</v>
      </c>
      <c r="M13">
        <v>9</v>
      </c>
      <c r="N13" t="s">
        <v>186</v>
      </c>
      <c r="O13" t="s">
        <v>94</v>
      </c>
      <c r="P13" t="str">
        <f>INDEX(Teams!$B:$B,MATCH(E13,Teams!$A:$A,0))</f>
        <v>Kolkata Knight Riders</v>
      </c>
      <c r="Q13" t="str">
        <f>INDEX(Teams!$B:$B,MATCH(F13,Teams!$A:$A,0))</f>
        <v>Chennai Super Kings</v>
      </c>
      <c r="R13" t="str">
        <f>INDEX(Teams!$B:$B,MATCH(G13,Teams!$A:$A,0))</f>
        <v>Kolkata Knight Riders</v>
      </c>
      <c r="S13" t="str">
        <f>IF(K13="","No result",INDEX(Teams!$B:$B,MATCH(K13,Teams!$A:$A,0)))</f>
        <v>Chennai Super Kings</v>
      </c>
      <c r="T13" t="str">
        <f>INDEX(Venues!$B:$B,MATCH(O13,Venues!$A:$A,0))</f>
        <v>MA Chidambaram Stadium</v>
      </c>
      <c r="U13" t="str">
        <f>INDEX(Venues!$C:$C,MATCH(O13,Venues!$A:$A,0))</f>
        <v>Chennai</v>
      </c>
      <c r="V13" t="str">
        <f>IF(L13&gt;0,L13&amp;" runs",IF(M13&gt;0,M13&amp;" wickets","-"))</f>
        <v>9 wickets</v>
      </c>
      <c r="W13">
        <f>IF(G13=K13,1,0)</f>
        <v>0</v>
      </c>
      <c r="X13">
        <f>IF(L13&gt;0,L13,"")</f>
        <v/>
      </c>
      <c r="Y13">
        <f>IF(X13="","",IF(X13&gt;Stats!$B$15,"Outlier",""))</f>
        <v/>
      </c>
      <c r="Z13" t="str">
        <f>P13&amp;" vs "&amp;Q13</f>
        <v>Kolkata Knight Riders vs Chennai Super Kings</v>
      </c>
    </row>
    <row r="14" spans="1:26" x14ac:dyDescent="0.25">
      <c r="A14">
        <v>72</v>
      </c>
      <c r="B14">
        <v>2008</v>
      </c>
      <c r="C14" s="5">
        <v>39565</v>
      </c>
      <c r="D14" t="s">
        <v>172</v>
      </c>
      <c r="E14" t="s">
        <v>35</v>
      </c>
      <c r="F14" t="s">
        <v>16</v>
      </c>
      <c r="G14" t="s">
        <v>16</v>
      </c>
      <c r="H14" t="s">
        <v>173</v>
      </c>
      <c r="I14" t="s">
        <v>174</v>
      </c>
      <c r="J14">
        <v>0</v>
      </c>
      <c r="K14" t="s">
        <v>16</v>
      </c>
      <c r="L14">
        <v>0</v>
      </c>
      <c r="M14">
        <v>10</v>
      </c>
      <c r="N14" t="s">
        <v>187</v>
      </c>
      <c r="O14" t="s">
        <v>65</v>
      </c>
      <c r="P14" t="str">
        <f>INDEX(Teams!$B:$B,MATCH(E14,Teams!$A:$A,0))</f>
        <v>Mumbai Indians</v>
      </c>
      <c r="Q14" t="str">
        <f>INDEX(Teams!$B:$B,MATCH(F14,Teams!$A:$A,0))</f>
        <v>Deccan Chargers</v>
      </c>
      <c r="R14" t="str">
        <f>INDEX(Teams!$B:$B,MATCH(G14,Teams!$A:$A,0))</f>
        <v>Deccan Chargers</v>
      </c>
      <c r="S14" t="str">
        <f>IF(K14="","No result",INDEX(Teams!$B:$B,MATCH(K14,Teams!$A:$A,0)))</f>
        <v>Deccan Chargers</v>
      </c>
      <c r="T14" t="str">
        <f>INDEX(Venues!$B:$B,MATCH(O14,Venues!$A:$A,0))</f>
        <v>Dr DY Patil Sports Academy</v>
      </c>
      <c r="U14" t="str">
        <f>INDEX(Venues!$C:$C,MATCH(O14,Venues!$A:$A,0))</f>
        <v>Mumbai</v>
      </c>
      <c r="V14" t="str">
        <f>IF(L14&gt;0,L14&amp;" runs",IF(M14&gt;0,M14&amp;" wickets","-"))</f>
        <v>10 wickets</v>
      </c>
      <c r="W14">
        <f>IF(G14=K14,1,0)</f>
        <v>1</v>
      </c>
      <c r="X14">
        <f>IF(L14&gt;0,L14,"")</f>
        <v/>
      </c>
      <c r="Y14">
        <f>IF(X14="","",IF(X14&gt;Stats!$B$15,"Outlier",""))</f>
        <v/>
      </c>
      <c r="Z14" t="str">
        <f>P14&amp;" vs "&amp;Q14</f>
        <v>Mumbai Indians vs Deccan Chargers</v>
      </c>
    </row>
    <row r="15" spans="1:26" x14ac:dyDescent="0.25">
      <c r="A15">
        <v>73</v>
      </c>
      <c r="B15">
        <v>2008</v>
      </c>
      <c r="C15" s="5">
        <v>39565</v>
      </c>
      <c r="D15" t="s">
        <v>172</v>
      </c>
      <c r="E15" t="s">
        <v>20</v>
      </c>
      <c r="F15" t="s">
        <v>26</v>
      </c>
      <c r="G15" t="s">
        <v>20</v>
      </c>
      <c r="H15" t="s">
        <v>176</v>
      </c>
      <c r="I15" t="s">
        <v>174</v>
      </c>
      <c r="J15">
        <v>0</v>
      </c>
      <c r="K15" t="s">
        <v>26</v>
      </c>
      <c r="L15">
        <v>0</v>
      </c>
      <c r="M15">
        <v>4</v>
      </c>
      <c r="N15" t="s">
        <v>188</v>
      </c>
      <c r="O15" t="s">
        <v>109</v>
      </c>
      <c r="P15" t="str">
        <f>INDEX(Teams!$B:$B,MATCH(E15,Teams!$A:$A,0))</f>
        <v>Delhi Capitals</v>
      </c>
      <c r="Q15" t="str">
        <f>INDEX(Teams!$B:$B,MATCH(F15,Teams!$A:$A,0))</f>
        <v>Kings XI Punjab</v>
      </c>
      <c r="R15" t="str">
        <f>INDEX(Teams!$B:$B,MATCH(G15,Teams!$A:$A,0))</f>
        <v>Delhi Capitals</v>
      </c>
      <c r="S15" t="str">
        <f>IF(K15="","No result",INDEX(Teams!$B:$B,MATCH(K15,Teams!$A:$A,0)))</f>
        <v>Kings XI Punjab</v>
      </c>
      <c r="T15" t="str">
        <f>INDEX(Venues!$B:$B,MATCH(O15,Venues!$A:$A,0))</f>
        <v>Punjab Cricket Association IS Bindra Stadium</v>
      </c>
      <c r="U15" t="str">
        <f>INDEX(Venues!$C:$C,MATCH(O15,Venues!$A:$A,0))</f>
        <v>Chandigarh</v>
      </c>
      <c r="V15" t="str">
        <f>IF(L15&gt;0,L15&amp;" runs",IF(M15&gt;0,M15&amp;" wickets","-"))</f>
        <v>4 wickets</v>
      </c>
      <c r="W15">
        <f>IF(G15=K15,1,0)</f>
        <v>0</v>
      </c>
      <c r="X15">
        <f>IF(L15&gt;0,L15,"")</f>
        <v/>
      </c>
      <c r="Y15">
        <f>IF(X15="","",IF(X15&gt;Stats!$B$15,"Outlier",""))</f>
        <v/>
      </c>
      <c r="Z15" t="str">
        <f>P15&amp;" vs "&amp;Q15</f>
        <v>Delhi Capitals vs Kings XI Punjab</v>
      </c>
    </row>
    <row r="16" spans="1:26" x14ac:dyDescent="0.25">
      <c r="A16">
        <v>74</v>
      </c>
      <c r="B16">
        <v>2008</v>
      </c>
      <c r="C16" s="5">
        <v>39566</v>
      </c>
      <c r="D16" t="s">
        <v>172</v>
      </c>
      <c r="E16" t="s">
        <v>12</v>
      </c>
      <c r="F16" t="s">
        <v>46</v>
      </c>
      <c r="G16" t="s">
        <v>12</v>
      </c>
      <c r="H16" t="s">
        <v>176</v>
      </c>
      <c r="I16" t="s">
        <v>174</v>
      </c>
      <c r="J16">
        <v>0</v>
      </c>
      <c r="K16" t="s">
        <v>12</v>
      </c>
      <c r="L16">
        <v>13</v>
      </c>
      <c r="M16">
        <v>0</v>
      </c>
      <c r="N16" t="s">
        <v>189</v>
      </c>
      <c r="O16" t="s">
        <v>92</v>
      </c>
      <c r="P16" t="str">
        <f>INDEX(Teams!$B:$B,MATCH(E16,Teams!$A:$A,0))</f>
        <v>Chennai Super Kings</v>
      </c>
      <c r="Q16" t="str">
        <f>INDEX(Teams!$B:$B,MATCH(F16,Teams!$A:$A,0))</f>
        <v>Royal Challengers Bangalore</v>
      </c>
      <c r="R16" t="str">
        <f>INDEX(Teams!$B:$B,MATCH(G16,Teams!$A:$A,0))</f>
        <v>Chennai Super Kings</v>
      </c>
      <c r="S16" t="str">
        <f>IF(K16="","No result",INDEX(Teams!$B:$B,MATCH(K16,Teams!$A:$A,0)))</f>
        <v>Chennai Super Kings</v>
      </c>
      <c r="T16" t="str">
        <f>INDEX(Venues!$B:$B,MATCH(O16,Venues!$A:$A,0))</f>
        <v>M Chinnaswamy Stadium</v>
      </c>
      <c r="U16" t="str">
        <f>INDEX(Venues!$C:$C,MATCH(O16,Venues!$A:$A,0))</f>
        <v>Bangalore</v>
      </c>
      <c r="V16" t="str">
        <f>IF(L16&gt;0,L16&amp;" runs",IF(M16&gt;0,M16&amp;" wickets","-"))</f>
        <v>13 runs</v>
      </c>
      <c r="W16">
        <f>IF(G16=K16,1,0)</f>
        <v>1</v>
      </c>
      <c r="X16">
        <f>IF(L16&gt;0,L16,"")</f>
        <v>13</v>
      </c>
      <c r="Y16">
        <f>IF(X16="","",IF(X16&gt;Stats!$B$15,"Outlier",""))</f>
        <v/>
      </c>
      <c r="Z16" t="str">
        <f>P16&amp;" vs "&amp;Q16</f>
        <v>Chennai Super Kings vs Royal Challengers Bangalore</v>
      </c>
    </row>
    <row r="17" spans="1:26" x14ac:dyDescent="0.25">
      <c r="A17">
        <v>75</v>
      </c>
      <c r="B17">
        <v>2008</v>
      </c>
      <c r="C17" s="5">
        <v>39567</v>
      </c>
      <c r="D17" t="s">
        <v>172</v>
      </c>
      <c r="E17" t="s">
        <v>32</v>
      </c>
      <c r="F17" t="s">
        <v>35</v>
      </c>
      <c r="G17" t="s">
        <v>32</v>
      </c>
      <c r="H17" t="s">
        <v>176</v>
      </c>
      <c r="I17" t="s">
        <v>174</v>
      </c>
      <c r="J17">
        <v>0</v>
      </c>
      <c r="K17" t="s">
        <v>35</v>
      </c>
      <c r="L17">
        <v>0</v>
      </c>
      <c r="M17">
        <v>7</v>
      </c>
      <c r="N17" t="s">
        <v>190</v>
      </c>
      <c r="O17" t="s">
        <v>73</v>
      </c>
      <c r="P17" t="str">
        <f>INDEX(Teams!$B:$B,MATCH(E17,Teams!$A:$A,0))</f>
        <v>Kolkata Knight Riders</v>
      </c>
      <c r="Q17" t="str">
        <f>INDEX(Teams!$B:$B,MATCH(F17,Teams!$A:$A,0))</f>
        <v>Mumbai Indians</v>
      </c>
      <c r="R17" t="str">
        <f>INDEX(Teams!$B:$B,MATCH(G17,Teams!$A:$A,0))</f>
        <v>Kolkata Knight Riders</v>
      </c>
      <c r="S17" t="str">
        <f>IF(K17="","No result",INDEX(Teams!$B:$B,MATCH(K17,Teams!$A:$A,0)))</f>
        <v>Mumbai Indians</v>
      </c>
      <c r="T17" t="str">
        <f>INDEX(Venues!$B:$B,MATCH(O17,Venues!$A:$A,0))</f>
        <v>Eden Gardens</v>
      </c>
      <c r="U17" t="str">
        <f>INDEX(Venues!$C:$C,MATCH(O17,Venues!$A:$A,0))</f>
        <v>Kolkata</v>
      </c>
      <c r="V17" t="str">
        <f>IF(L17&gt;0,L17&amp;" runs",IF(M17&gt;0,M17&amp;" wickets","-"))</f>
        <v>7 wickets</v>
      </c>
      <c r="W17">
        <f>IF(G17=K17,1,0)</f>
        <v>0</v>
      </c>
      <c r="X17">
        <f>IF(L17&gt;0,L17,"")</f>
        <v/>
      </c>
      <c r="Y17">
        <f>IF(X17="","",IF(X17&gt;Stats!$B$15,"Outlier",""))</f>
        <v/>
      </c>
      <c r="Z17" t="str">
        <f>P17&amp;" vs "&amp;Q17</f>
        <v>Kolkata Knight Riders vs Mumbai Indians</v>
      </c>
    </row>
    <row r="18" spans="1:26" x14ac:dyDescent="0.25">
      <c r="A18">
        <v>76</v>
      </c>
      <c r="B18">
        <v>2008</v>
      </c>
      <c r="C18" s="5">
        <v>39568</v>
      </c>
      <c r="D18" t="s">
        <v>172</v>
      </c>
      <c r="E18" t="s">
        <v>20</v>
      </c>
      <c r="F18" t="s">
        <v>46</v>
      </c>
      <c r="G18" t="s">
        <v>46</v>
      </c>
      <c r="H18" t="s">
        <v>173</v>
      </c>
      <c r="I18" t="s">
        <v>174</v>
      </c>
      <c r="J18">
        <v>0</v>
      </c>
      <c r="K18" t="s">
        <v>20</v>
      </c>
      <c r="L18">
        <v>10</v>
      </c>
      <c r="M18">
        <v>0</v>
      </c>
      <c r="N18" t="s">
        <v>191</v>
      </c>
      <c r="O18" t="s">
        <v>75</v>
      </c>
      <c r="P18" t="str">
        <f>INDEX(Teams!$B:$B,MATCH(E18,Teams!$A:$A,0))</f>
        <v>Delhi Capitals</v>
      </c>
      <c r="Q18" t="str">
        <f>INDEX(Teams!$B:$B,MATCH(F18,Teams!$A:$A,0))</f>
        <v>Royal Challengers Bangalore</v>
      </c>
      <c r="R18" t="str">
        <f>INDEX(Teams!$B:$B,MATCH(G18,Teams!$A:$A,0))</f>
        <v>Royal Challengers Bangalore</v>
      </c>
      <c r="S18" t="str">
        <f>IF(K18="","No result",INDEX(Teams!$B:$B,MATCH(K18,Teams!$A:$A,0)))</f>
        <v>Delhi Capitals</v>
      </c>
      <c r="T18" t="str">
        <f>INDEX(Venues!$B:$B,MATCH(O18,Venues!$A:$A,0))</f>
        <v>Feroz Shah Kotla</v>
      </c>
      <c r="U18" t="str">
        <f>INDEX(Venues!$C:$C,MATCH(O18,Venues!$A:$A,0))</f>
        <v>Delhi</v>
      </c>
      <c r="V18" t="str">
        <f>IF(L18&gt;0,L18&amp;" runs",IF(M18&gt;0,M18&amp;" wickets","-"))</f>
        <v>10 runs</v>
      </c>
      <c r="W18">
        <f>IF(G18=K18,1,0)</f>
        <v>0</v>
      </c>
      <c r="X18">
        <f>IF(L18&gt;0,L18,"")</f>
        <v>10</v>
      </c>
      <c r="Y18">
        <f>IF(X18="","",IF(X18&gt;Stats!$B$15,"Outlier",""))</f>
        <v/>
      </c>
      <c r="Z18" t="str">
        <f>P18&amp;" vs "&amp;Q18</f>
        <v>Delhi Capitals vs Royal Challengers Bangalore</v>
      </c>
    </row>
    <row r="19" spans="1:26" x14ac:dyDescent="0.25">
      <c r="A19">
        <v>77</v>
      </c>
      <c r="B19">
        <v>2008</v>
      </c>
      <c r="C19" s="5">
        <v>39569</v>
      </c>
      <c r="D19" t="s">
        <v>172</v>
      </c>
      <c r="E19" t="s">
        <v>16</v>
      </c>
      <c r="F19" t="s">
        <v>26</v>
      </c>
      <c r="G19" t="s">
        <v>26</v>
      </c>
      <c r="H19" t="s">
        <v>173</v>
      </c>
      <c r="I19" t="s">
        <v>174</v>
      </c>
      <c r="J19">
        <v>0</v>
      </c>
      <c r="K19" t="s">
        <v>26</v>
      </c>
      <c r="L19">
        <v>0</v>
      </c>
      <c r="M19">
        <v>7</v>
      </c>
      <c r="N19" t="s">
        <v>192</v>
      </c>
      <c r="O19" t="s">
        <v>111</v>
      </c>
      <c r="P19" t="str">
        <f>INDEX(Teams!$B:$B,MATCH(E19,Teams!$A:$A,0))</f>
        <v>Deccan Chargers</v>
      </c>
      <c r="Q19" t="str">
        <f>INDEX(Teams!$B:$B,MATCH(F19,Teams!$A:$A,0))</f>
        <v>Kings XI Punjab</v>
      </c>
      <c r="R19" t="str">
        <f>INDEX(Teams!$B:$B,MATCH(G19,Teams!$A:$A,0))</f>
        <v>Kings XI Punjab</v>
      </c>
      <c r="S19" t="str">
        <f>IF(K19="","No result",INDEX(Teams!$B:$B,MATCH(K19,Teams!$A:$A,0)))</f>
        <v>Kings XI Punjab</v>
      </c>
      <c r="T19" t="str">
        <f>INDEX(Venues!$B:$B,MATCH(O19,Venues!$A:$A,0))</f>
        <v>Rajiv Gandhi International Stadium</v>
      </c>
      <c r="U19" t="str">
        <f>INDEX(Venues!$C:$C,MATCH(O19,Venues!$A:$A,0))</f>
        <v>Hyderabad</v>
      </c>
      <c r="V19" t="str">
        <f>IF(L19&gt;0,L19&amp;" runs",IF(M19&gt;0,M19&amp;" wickets","-"))</f>
        <v>7 wickets</v>
      </c>
      <c r="W19">
        <f>IF(G19=K19,1,0)</f>
        <v>1</v>
      </c>
      <c r="X19">
        <f>IF(L19&gt;0,L19,"")</f>
        <v/>
      </c>
      <c r="Y19">
        <f>IF(X19="","",IF(X19&gt;Stats!$B$15,"Outlier",""))</f>
        <v/>
      </c>
      <c r="Z19" t="str">
        <f>P19&amp;" vs "&amp;Q19</f>
        <v>Deccan Chargers vs Kings XI Punjab</v>
      </c>
    </row>
    <row r="20" spans="1:26" x14ac:dyDescent="0.25">
      <c r="A20">
        <v>78</v>
      </c>
      <c r="B20">
        <v>2008</v>
      </c>
      <c r="C20" s="5">
        <v>39569</v>
      </c>
      <c r="D20" t="s">
        <v>172</v>
      </c>
      <c r="E20" t="s">
        <v>41</v>
      </c>
      <c r="F20" t="s">
        <v>32</v>
      </c>
      <c r="G20" t="s">
        <v>41</v>
      </c>
      <c r="H20" t="s">
        <v>176</v>
      </c>
      <c r="I20" t="s">
        <v>174</v>
      </c>
      <c r="J20">
        <v>0</v>
      </c>
      <c r="K20" t="s">
        <v>41</v>
      </c>
      <c r="L20">
        <v>45</v>
      </c>
      <c r="M20">
        <v>0</v>
      </c>
      <c r="N20" t="s">
        <v>193</v>
      </c>
      <c r="O20" t="s">
        <v>118</v>
      </c>
      <c r="P20" t="str">
        <f>INDEX(Teams!$B:$B,MATCH(E20,Teams!$A:$A,0))</f>
        <v>Rajasthan Royals</v>
      </c>
      <c r="Q20" t="str">
        <f>INDEX(Teams!$B:$B,MATCH(F20,Teams!$A:$A,0))</f>
        <v>Kolkata Knight Riders</v>
      </c>
      <c r="R20" t="str">
        <f>INDEX(Teams!$B:$B,MATCH(G20,Teams!$A:$A,0))</f>
        <v>Rajasthan Royals</v>
      </c>
      <c r="S20" t="str">
        <f>IF(K20="","No result",INDEX(Teams!$B:$B,MATCH(K20,Teams!$A:$A,0)))</f>
        <v>Rajasthan Royals</v>
      </c>
      <c r="T20" t="str">
        <f>INDEX(Venues!$B:$B,MATCH(O20,Venues!$A:$A,0))</f>
        <v>Sawai Mansingh Stadium</v>
      </c>
      <c r="U20" t="str">
        <f>INDEX(Venues!$C:$C,MATCH(O20,Venues!$A:$A,0))</f>
        <v>Jaipur</v>
      </c>
      <c r="V20" t="str">
        <f>IF(L20&gt;0,L20&amp;" runs",IF(M20&gt;0,M20&amp;" wickets","-"))</f>
        <v>45 runs</v>
      </c>
      <c r="W20">
        <f>IF(G20=K20,1,0)</f>
        <v>1</v>
      </c>
      <c r="X20">
        <f>IF(L20&gt;0,L20,"")</f>
        <v>45</v>
      </c>
      <c r="Y20">
        <f>IF(X20="","",IF(X20&gt;Stats!$B$15,"Outlier",""))</f>
        <v/>
      </c>
      <c r="Z20" t="str">
        <f>P20&amp;" vs "&amp;Q20</f>
        <v>Rajasthan Royals vs Kolkata Knight Riders</v>
      </c>
    </row>
    <row r="21" spans="1:26" x14ac:dyDescent="0.25">
      <c r="A21">
        <v>79</v>
      </c>
      <c r="B21">
        <v>2008</v>
      </c>
      <c r="C21" s="5">
        <v>39570</v>
      </c>
      <c r="D21" t="s">
        <v>172</v>
      </c>
      <c r="E21" t="s">
        <v>12</v>
      </c>
      <c r="F21" t="s">
        <v>20</v>
      </c>
      <c r="G21" t="s">
        <v>12</v>
      </c>
      <c r="H21" t="s">
        <v>176</v>
      </c>
      <c r="I21" t="s">
        <v>174</v>
      </c>
      <c r="J21">
        <v>0</v>
      </c>
      <c r="K21" t="s">
        <v>20</v>
      </c>
      <c r="L21">
        <v>0</v>
      </c>
      <c r="M21">
        <v>8</v>
      </c>
      <c r="N21" t="s">
        <v>182</v>
      </c>
      <c r="O21" t="s">
        <v>94</v>
      </c>
      <c r="P21" t="str">
        <f>INDEX(Teams!$B:$B,MATCH(E21,Teams!$A:$A,0))</f>
        <v>Chennai Super Kings</v>
      </c>
      <c r="Q21" t="str">
        <f>INDEX(Teams!$B:$B,MATCH(F21,Teams!$A:$A,0))</f>
        <v>Delhi Capitals</v>
      </c>
      <c r="R21" t="str">
        <f>INDEX(Teams!$B:$B,MATCH(G21,Teams!$A:$A,0))</f>
        <v>Chennai Super Kings</v>
      </c>
      <c r="S21" t="str">
        <f>IF(K21="","No result",INDEX(Teams!$B:$B,MATCH(K21,Teams!$A:$A,0)))</f>
        <v>Delhi Capitals</v>
      </c>
      <c r="T21" t="str">
        <f>INDEX(Venues!$B:$B,MATCH(O21,Venues!$A:$A,0))</f>
        <v>MA Chidambaram Stadium</v>
      </c>
      <c r="U21" t="str">
        <f>INDEX(Venues!$C:$C,MATCH(O21,Venues!$A:$A,0))</f>
        <v>Chennai</v>
      </c>
      <c r="V21" t="str">
        <f>IF(L21&gt;0,L21&amp;" runs",IF(M21&gt;0,M21&amp;" wickets","-"))</f>
        <v>8 wickets</v>
      </c>
      <c r="W21">
        <f>IF(G21=K21,1,0)</f>
        <v>0</v>
      </c>
      <c r="X21">
        <f>IF(L21&gt;0,L21,"")</f>
        <v/>
      </c>
      <c r="Y21">
        <f>IF(X21="","",IF(X21&gt;Stats!$B$15,"Outlier",""))</f>
        <v/>
      </c>
      <c r="Z21" t="str">
        <f>P21&amp;" vs "&amp;Q21</f>
        <v>Chennai Super Kings vs Delhi Capitals</v>
      </c>
    </row>
    <row r="22" spans="1:26" x14ac:dyDescent="0.25">
      <c r="A22">
        <v>81</v>
      </c>
      <c r="B22">
        <v>2008</v>
      </c>
      <c r="C22" s="5">
        <v>39571</v>
      </c>
      <c r="D22" t="s">
        <v>172</v>
      </c>
      <c r="E22" t="s">
        <v>26</v>
      </c>
      <c r="F22" t="s">
        <v>32</v>
      </c>
      <c r="G22" t="s">
        <v>26</v>
      </c>
      <c r="H22" t="s">
        <v>176</v>
      </c>
      <c r="I22" t="s">
        <v>174</v>
      </c>
      <c r="J22">
        <v>0</v>
      </c>
      <c r="K22" t="s">
        <v>26</v>
      </c>
      <c r="L22">
        <v>9</v>
      </c>
      <c r="M22">
        <v>0</v>
      </c>
      <c r="N22" t="s">
        <v>194</v>
      </c>
      <c r="O22" t="s">
        <v>109</v>
      </c>
      <c r="P22" t="str">
        <f>INDEX(Teams!$B:$B,MATCH(E22,Teams!$A:$A,0))</f>
        <v>Kings XI Punjab</v>
      </c>
      <c r="Q22" t="str">
        <f>INDEX(Teams!$B:$B,MATCH(F22,Teams!$A:$A,0))</f>
        <v>Kolkata Knight Riders</v>
      </c>
      <c r="R22" t="str">
        <f>INDEX(Teams!$B:$B,MATCH(G22,Teams!$A:$A,0))</f>
        <v>Kings XI Punjab</v>
      </c>
      <c r="S22" t="str">
        <f>IF(K22="","No result",INDEX(Teams!$B:$B,MATCH(K22,Teams!$A:$A,0)))</f>
        <v>Kings XI Punjab</v>
      </c>
      <c r="T22" t="str">
        <f>INDEX(Venues!$B:$B,MATCH(O22,Venues!$A:$A,0))</f>
        <v>Punjab Cricket Association IS Bindra Stadium</v>
      </c>
      <c r="U22" t="str">
        <f>INDEX(Venues!$C:$C,MATCH(O22,Venues!$A:$A,0))</f>
        <v>Chandigarh</v>
      </c>
      <c r="V22" t="str">
        <f>IF(L22&gt;0,L22&amp;" runs",IF(M22&gt;0,M22&amp;" wickets","-"))</f>
        <v>9 runs</v>
      </c>
      <c r="W22">
        <f>IF(G22=K22,1,0)</f>
        <v>1</v>
      </c>
      <c r="X22">
        <f>IF(L22&gt;0,L22,"")</f>
        <v>9</v>
      </c>
      <c r="Y22">
        <f>IF(X22="","",IF(X22&gt;Stats!$B$15,"Outlier",""))</f>
        <v/>
      </c>
      <c r="Z22" t="str">
        <f>P22&amp;" vs "&amp;Q22</f>
        <v>Kings XI Punjab vs Kolkata Knight Riders</v>
      </c>
    </row>
    <row r="23" spans="1:26" x14ac:dyDescent="0.25">
      <c r="A23">
        <v>111</v>
      </c>
      <c r="B23">
        <v>2008</v>
      </c>
      <c r="C23" s="5">
        <v>39571</v>
      </c>
      <c r="D23" t="s">
        <v>172</v>
      </c>
      <c r="E23" t="s">
        <v>46</v>
      </c>
      <c r="F23" t="s">
        <v>16</v>
      </c>
      <c r="G23" t="s">
        <v>16</v>
      </c>
      <c r="H23" t="s">
        <v>173</v>
      </c>
      <c r="I23" t="s">
        <v>174</v>
      </c>
      <c r="J23">
        <v>0</v>
      </c>
      <c r="K23" t="s">
        <v>46</v>
      </c>
      <c r="L23">
        <v>3</v>
      </c>
      <c r="M23">
        <v>0</v>
      </c>
      <c r="N23" t="s">
        <v>195</v>
      </c>
      <c r="O23" t="s">
        <v>92</v>
      </c>
      <c r="P23" t="str">
        <f>INDEX(Teams!$B:$B,MATCH(E23,Teams!$A:$A,0))</f>
        <v>Royal Challengers Bangalore</v>
      </c>
      <c r="Q23" t="str">
        <f>INDEX(Teams!$B:$B,MATCH(F23,Teams!$A:$A,0))</f>
        <v>Deccan Chargers</v>
      </c>
      <c r="R23" t="str">
        <f>INDEX(Teams!$B:$B,MATCH(G23,Teams!$A:$A,0))</f>
        <v>Deccan Chargers</v>
      </c>
      <c r="S23" t="str">
        <f>IF(K23="","No result",INDEX(Teams!$B:$B,MATCH(K23,Teams!$A:$A,0)))</f>
        <v>Royal Challengers Bangalore</v>
      </c>
      <c r="T23" t="str">
        <f>INDEX(Venues!$B:$B,MATCH(O23,Venues!$A:$A,0))</f>
        <v>M Chinnaswamy Stadium</v>
      </c>
      <c r="U23" t="str">
        <f>INDEX(Venues!$C:$C,MATCH(O23,Venues!$A:$A,0))</f>
        <v>Bangalore</v>
      </c>
      <c r="V23" t="str">
        <f>IF(L23&gt;0,L23&amp;" runs",IF(M23&gt;0,M23&amp;" wickets","-"))</f>
        <v>3 runs</v>
      </c>
      <c r="W23">
        <f>IF(G23=K23,1,0)</f>
        <v>0</v>
      </c>
      <c r="X23">
        <f>IF(L23&gt;0,L23,"")</f>
        <v>3</v>
      </c>
      <c r="Y23">
        <f>IF(X23="","",IF(X23&gt;Stats!$B$15,"Outlier",""))</f>
        <v/>
      </c>
      <c r="Z23" t="str">
        <f>P23&amp;" vs "&amp;Q23</f>
        <v>Royal Challengers Bangalore vs Deccan Chargers</v>
      </c>
    </row>
    <row r="24" spans="1:26" x14ac:dyDescent="0.25">
      <c r="A24">
        <v>82</v>
      </c>
      <c r="B24">
        <v>2008</v>
      </c>
      <c r="C24" s="5">
        <v>39572</v>
      </c>
      <c r="D24" t="s">
        <v>172</v>
      </c>
      <c r="E24" t="s">
        <v>35</v>
      </c>
      <c r="F24" t="s">
        <v>20</v>
      </c>
      <c r="G24" t="s">
        <v>20</v>
      </c>
      <c r="H24" t="s">
        <v>173</v>
      </c>
      <c r="I24" t="s">
        <v>174</v>
      </c>
      <c r="J24">
        <v>0</v>
      </c>
      <c r="K24" t="s">
        <v>35</v>
      </c>
      <c r="L24">
        <v>29</v>
      </c>
      <c r="M24">
        <v>0</v>
      </c>
      <c r="N24" t="s">
        <v>196</v>
      </c>
      <c r="O24" t="s">
        <v>65</v>
      </c>
      <c r="P24" t="str">
        <f>INDEX(Teams!$B:$B,MATCH(E24,Teams!$A:$A,0))</f>
        <v>Mumbai Indians</v>
      </c>
      <c r="Q24" t="str">
        <f>INDEX(Teams!$B:$B,MATCH(F24,Teams!$A:$A,0))</f>
        <v>Delhi Capitals</v>
      </c>
      <c r="R24" t="str">
        <f>INDEX(Teams!$B:$B,MATCH(G24,Teams!$A:$A,0))</f>
        <v>Delhi Capitals</v>
      </c>
      <c r="S24" t="str">
        <f>IF(K24="","No result",INDEX(Teams!$B:$B,MATCH(K24,Teams!$A:$A,0)))</f>
        <v>Mumbai Indians</v>
      </c>
      <c r="T24" t="str">
        <f>INDEX(Venues!$B:$B,MATCH(O24,Venues!$A:$A,0))</f>
        <v>Dr DY Patil Sports Academy</v>
      </c>
      <c r="U24" t="str">
        <f>INDEX(Venues!$C:$C,MATCH(O24,Venues!$A:$A,0))</f>
        <v>Mumbai</v>
      </c>
      <c r="V24" t="str">
        <f>IF(L24&gt;0,L24&amp;" runs",IF(M24&gt;0,M24&amp;" wickets","-"))</f>
        <v>29 runs</v>
      </c>
      <c r="W24">
        <f>IF(G24=K24,1,0)</f>
        <v>0</v>
      </c>
      <c r="X24">
        <f>IF(L24&gt;0,L24,"")</f>
        <v>29</v>
      </c>
      <c r="Y24">
        <f>IF(X24="","",IF(X24&gt;Stats!$B$15,"Outlier",""))</f>
        <v/>
      </c>
      <c r="Z24" t="str">
        <f>P24&amp;" vs "&amp;Q24</f>
        <v>Mumbai Indians vs Delhi Capitals</v>
      </c>
    </row>
    <row r="25" spans="1:26" x14ac:dyDescent="0.25">
      <c r="A25">
        <v>83</v>
      </c>
      <c r="B25">
        <v>2008</v>
      </c>
      <c r="C25" s="5">
        <v>39572</v>
      </c>
      <c r="D25" t="s">
        <v>172</v>
      </c>
      <c r="E25" t="s">
        <v>12</v>
      </c>
      <c r="F25" t="s">
        <v>41</v>
      </c>
      <c r="G25" t="s">
        <v>12</v>
      </c>
      <c r="H25" t="s">
        <v>176</v>
      </c>
      <c r="I25" t="s">
        <v>174</v>
      </c>
      <c r="J25">
        <v>0</v>
      </c>
      <c r="K25" t="s">
        <v>41</v>
      </c>
      <c r="L25">
        <v>0</v>
      </c>
      <c r="M25">
        <v>8</v>
      </c>
      <c r="N25" t="s">
        <v>197</v>
      </c>
      <c r="O25" t="s">
        <v>118</v>
      </c>
      <c r="P25" t="str">
        <f>INDEX(Teams!$B:$B,MATCH(E25,Teams!$A:$A,0))</f>
        <v>Chennai Super Kings</v>
      </c>
      <c r="Q25" t="str">
        <f>INDEX(Teams!$B:$B,MATCH(F25,Teams!$A:$A,0))</f>
        <v>Rajasthan Royals</v>
      </c>
      <c r="R25" t="str">
        <f>INDEX(Teams!$B:$B,MATCH(G25,Teams!$A:$A,0))</f>
        <v>Chennai Super Kings</v>
      </c>
      <c r="S25" t="str">
        <f>IF(K25="","No result",INDEX(Teams!$B:$B,MATCH(K25,Teams!$A:$A,0)))</f>
        <v>Rajasthan Royals</v>
      </c>
      <c r="T25" t="str">
        <f>INDEX(Venues!$B:$B,MATCH(O25,Venues!$A:$A,0))</f>
        <v>Sawai Mansingh Stadium</v>
      </c>
      <c r="U25" t="str">
        <f>INDEX(Venues!$C:$C,MATCH(O25,Venues!$A:$A,0))</f>
        <v>Jaipur</v>
      </c>
      <c r="V25" t="str">
        <f>IF(L25&gt;0,L25&amp;" runs",IF(M25&gt;0,M25&amp;" wickets","-"))</f>
        <v>8 wickets</v>
      </c>
      <c r="W25">
        <f>IF(G25=K25,1,0)</f>
        <v>0</v>
      </c>
      <c r="X25">
        <f>IF(L25&gt;0,L25,"")</f>
        <v/>
      </c>
      <c r="Y25">
        <f>IF(X25="","",IF(X25&gt;Stats!$B$15,"Outlier",""))</f>
        <v/>
      </c>
      <c r="Z25" t="str">
        <f>P25&amp;" vs "&amp;Q25</f>
        <v>Chennai Super Kings vs Rajasthan Royals</v>
      </c>
    </row>
    <row r="26" spans="1:26" x14ac:dyDescent="0.25">
      <c r="A26">
        <v>84</v>
      </c>
      <c r="B26">
        <v>2008</v>
      </c>
      <c r="C26" s="5">
        <v>39573</v>
      </c>
      <c r="D26" t="s">
        <v>172</v>
      </c>
      <c r="E26" t="s">
        <v>46</v>
      </c>
      <c r="F26" t="s">
        <v>26</v>
      </c>
      <c r="G26" t="s">
        <v>26</v>
      </c>
      <c r="H26" t="s">
        <v>173</v>
      </c>
      <c r="I26" t="s">
        <v>174</v>
      </c>
      <c r="J26">
        <v>0</v>
      </c>
      <c r="K26" t="s">
        <v>26</v>
      </c>
      <c r="L26">
        <v>0</v>
      </c>
      <c r="M26">
        <v>6</v>
      </c>
      <c r="N26" t="s">
        <v>198</v>
      </c>
      <c r="O26" t="s">
        <v>92</v>
      </c>
      <c r="P26" t="str">
        <f>INDEX(Teams!$B:$B,MATCH(E26,Teams!$A:$A,0))</f>
        <v>Royal Challengers Bangalore</v>
      </c>
      <c r="Q26" t="str">
        <f>INDEX(Teams!$B:$B,MATCH(F26,Teams!$A:$A,0))</f>
        <v>Kings XI Punjab</v>
      </c>
      <c r="R26" t="str">
        <f>INDEX(Teams!$B:$B,MATCH(G26,Teams!$A:$A,0))</f>
        <v>Kings XI Punjab</v>
      </c>
      <c r="S26" t="str">
        <f>IF(K26="","No result",INDEX(Teams!$B:$B,MATCH(K26,Teams!$A:$A,0)))</f>
        <v>Kings XI Punjab</v>
      </c>
      <c r="T26" t="str">
        <f>INDEX(Venues!$B:$B,MATCH(O26,Venues!$A:$A,0))</f>
        <v>M Chinnaswamy Stadium</v>
      </c>
      <c r="U26" t="str">
        <f>INDEX(Venues!$C:$C,MATCH(O26,Venues!$A:$A,0))</f>
        <v>Bangalore</v>
      </c>
      <c r="V26" t="str">
        <f>IF(L26&gt;0,L26&amp;" runs",IF(M26&gt;0,M26&amp;" wickets","-"))</f>
        <v>6 wickets</v>
      </c>
      <c r="W26">
        <f>IF(G26=K26,1,0)</f>
        <v>1</v>
      </c>
      <c r="X26">
        <f>IF(L26&gt;0,L26,"")</f>
        <v/>
      </c>
      <c r="Y26">
        <f>IF(X26="","",IF(X26&gt;Stats!$B$15,"Outlier",""))</f>
        <v/>
      </c>
      <c r="Z26" t="str">
        <f>P26&amp;" vs "&amp;Q26</f>
        <v>Royal Challengers Bangalore vs Kings XI Punjab</v>
      </c>
    </row>
    <row r="27" spans="1:26" x14ac:dyDescent="0.25">
      <c r="A27">
        <v>85</v>
      </c>
      <c r="B27">
        <v>2008</v>
      </c>
      <c r="C27" s="5">
        <v>39574</v>
      </c>
      <c r="D27" t="s">
        <v>172</v>
      </c>
      <c r="E27" t="s">
        <v>12</v>
      </c>
      <c r="F27" t="s">
        <v>16</v>
      </c>
      <c r="G27" t="s">
        <v>16</v>
      </c>
      <c r="H27" t="s">
        <v>173</v>
      </c>
      <c r="I27" t="s">
        <v>174</v>
      </c>
      <c r="J27">
        <v>0</v>
      </c>
      <c r="K27" t="s">
        <v>16</v>
      </c>
      <c r="L27">
        <v>0</v>
      </c>
      <c r="M27">
        <v>7</v>
      </c>
      <c r="N27" t="s">
        <v>187</v>
      </c>
      <c r="O27" t="s">
        <v>94</v>
      </c>
      <c r="P27" t="str">
        <f>INDEX(Teams!$B:$B,MATCH(E27,Teams!$A:$A,0))</f>
        <v>Chennai Super Kings</v>
      </c>
      <c r="Q27" t="str">
        <f>INDEX(Teams!$B:$B,MATCH(F27,Teams!$A:$A,0))</f>
        <v>Deccan Chargers</v>
      </c>
      <c r="R27" t="str">
        <f>INDEX(Teams!$B:$B,MATCH(G27,Teams!$A:$A,0))</f>
        <v>Deccan Chargers</v>
      </c>
      <c r="S27" t="str">
        <f>IF(K27="","No result",INDEX(Teams!$B:$B,MATCH(K27,Teams!$A:$A,0)))</f>
        <v>Deccan Chargers</v>
      </c>
      <c r="T27" t="str">
        <f>INDEX(Venues!$B:$B,MATCH(O27,Venues!$A:$A,0))</f>
        <v>MA Chidambaram Stadium</v>
      </c>
      <c r="U27" t="str">
        <f>INDEX(Venues!$C:$C,MATCH(O27,Venues!$A:$A,0))</f>
        <v>Chennai</v>
      </c>
      <c r="V27" t="str">
        <f>IF(L27&gt;0,L27&amp;" runs",IF(M27&gt;0,M27&amp;" wickets","-"))</f>
        <v>7 wickets</v>
      </c>
      <c r="W27">
        <f>IF(G27=K27,1,0)</f>
        <v>1</v>
      </c>
      <c r="X27">
        <f>IF(L27&gt;0,L27,"")</f>
        <v/>
      </c>
      <c r="Y27">
        <f>IF(X27="","",IF(X27&gt;Stats!$B$15,"Outlier",""))</f>
        <v/>
      </c>
      <c r="Z27" t="str">
        <f>P27&amp;" vs "&amp;Q27</f>
        <v>Chennai Super Kings vs Deccan Chargers</v>
      </c>
    </row>
    <row r="28" spans="1:26" x14ac:dyDescent="0.25">
      <c r="A28">
        <v>86</v>
      </c>
      <c r="B28">
        <v>2008</v>
      </c>
      <c r="C28" s="5">
        <v>39575</v>
      </c>
      <c r="D28" t="s">
        <v>172</v>
      </c>
      <c r="E28" t="s">
        <v>41</v>
      </c>
      <c r="F28" t="s">
        <v>35</v>
      </c>
      <c r="G28" t="s">
        <v>35</v>
      </c>
      <c r="H28" t="s">
        <v>173</v>
      </c>
      <c r="I28" t="s">
        <v>174</v>
      </c>
      <c r="J28">
        <v>0</v>
      </c>
      <c r="K28" t="s">
        <v>35</v>
      </c>
      <c r="L28">
        <v>0</v>
      </c>
      <c r="M28">
        <v>7</v>
      </c>
      <c r="N28" t="s">
        <v>199</v>
      </c>
      <c r="O28" t="s">
        <v>65</v>
      </c>
      <c r="P28" t="str">
        <f>INDEX(Teams!$B:$B,MATCH(E28,Teams!$A:$A,0))</f>
        <v>Rajasthan Royals</v>
      </c>
      <c r="Q28" t="str">
        <f>INDEX(Teams!$B:$B,MATCH(F28,Teams!$A:$A,0))</f>
        <v>Mumbai Indians</v>
      </c>
      <c r="R28" t="str">
        <f>INDEX(Teams!$B:$B,MATCH(G28,Teams!$A:$A,0))</f>
        <v>Mumbai Indians</v>
      </c>
      <c r="S28" t="str">
        <f>IF(K28="","No result",INDEX(Teams!$B:$B,MATCH(K28,Teams!$A:$A,0)))</f>
        <v>Mumbai Indians</v>
      </c>
      <c r="T28" t="str">
        <f>INDEX(Venues!$B:$B,MATCH(O28,Venues!$A:$A,0))</f>
        <v>Dr DY Patil Sports Academy</v>
      </c>
      <c r="U28" t="str">
        <f>INDEX(Venues!$C:$C,MATCH(O28,Venues!$A:$A,0))</f>
        <v>Mumbai</v>
      </c>
      <c r="V28" t="str">
        <f>IF(L28&gt;0,L28&amp;" runs",IF(M28&gt;0,M28&amp;" wickets","-"))</f>
        <v>7 wickets</v>
      </c>
      <c r="W28">
        <f>IF(G28=K28,1,0)</f>
        <v>1</v>
      </c>
      <c r="X28">
        <f>IF(L28&gt;0,L28,"")</f>
        <v/>
      </c>
      <c r="Y28">
        <f>IF(X28="","",IF(X28&gt;Stats!$B$15,"Outlier",""))</f>
        <v/>
      </c>
      <c r="Z28" t="str">
        <f>P28&amp;" vs "&amp;Q28</f>
        <v>Rajasthan Royals vs Mumbai Indians</v>
      </c>
    </row>
    <row r="29" spans="1:26" x14ac:dyDescent="0.25">
      <c r="A29">
        <v>87</v>
      </c>
      <c r="B29">
        <v>2008</v>
      </c>
      <c r="C29" s="5">
        <v>39576</v>
      </c>
      <c r="D29" t="s">
        <v>172</v>
      </c>
      <c r="E29" t="s">
        <v>20</v>
      </c>
      <c r="F29" t="s">
        <v>12</v>
      </c>
      <c r="G29" t="s">
        <v>12</v>
      </c>
      <c r="H29" t="s">
        <v>173</v>
      </c>
      <c r="I29" t="s">
        <v>174</v>
      </c>
      <c r="J29">
        <v>0</v>
      </c>
      <c r="K29" t="s">
        <v>12</v>
      </c>
      <c r="L29">
        <v>0</v>
      </c>
      <c r="M29">
        <v>4</v>
      </c>
      <c r="N29" t="s">
        <v>189</v>
      </c>
      <c r="O29" t="s">
        <v>75</v>
      </c>
      <c r="P29" t="str">
        <f>INDEX(Teams!$B:$B,MATCH(E29,Teams!$A:$A,0))</f>
        <v>Delhi Capitals</v>
      </c>
      <c r="Q29" t="str">
        <f>INDEX(Teams!$B:$B,MATCH(F29,Teams!$A:$A,0))</f>
        <v>Chennai Super Kings</v>
      </c>
      <c r="R29" t="str">
        <f>INDEX(Teams!$B:$B,MATCH(G29,Teams!$A:$A,0))</f>
        <v>Chennai Super Kings</v>
      </c>
      <c r="S29" t="str">
        <f>IF(K29="","No result",INDEX(Teams!$B:$B,MATCH(K29,Teams!$A:$A,0)))</f>
        <v>Chennai Super Kings</v>
      </c>
      <c r="T29" t="str">
        <f>INDEX(Venues!$B:$B,MATCH(O29,Venues!$A:$A,0))</f>
        <v>Feroz Shah Kotla</v>
      </c>
      <c r="U29" t="str">
        <f>INDEX(Venues!$C:$C,MATCH(O29,Venues!$A:$A,0))</f>
        <v>Delhi</v>
      </c>
      <c r="V29" t="str">
        <f>IF(L29&gt;0,L29&amp;" runs",IF(M29&gt;0,M29&amp;" wickets","-"))</f>
        <v>4 wickets</v>
      </c>
      <c r="W29">
        <f>IF(G29=K29,1,0)</f>
        <v>1</v>
      </c>
      <c r="X29">
        <f>IF(L29&gt;0,L29,"")</f>
        <v/>
      </c>
      <c r="Y29">
        <f>IF(X29="","",IF(X29&gt;Stats!$B$15,"Outlier",""))</f>
        <v/>
      </c>
      <c r="Z29" t="str">
        <f>P29&amp;" vs "&amp;Q29</f>
        <v>Delhi Capitals vs Chennai Super Kings</v>
      </c>
    </row>
    <row r="30" spans="1:26" x14ac:dyDescent="0.25">
      <c r="A30">
        <v>88</v>
      </c>
      <c r="B30">
        <v>2008</v>
      </c>
      <c r="C30" s="5">
        <v>39576</v>
      </c>
      <c r="D30" t="s">
        <v>172</v>
      </c>
      <c r="E30" t="s">
        <v>32</v>
      </c>
      <c r="F30" t="s">
        <v>46</v>
      </c>
      <c r="G30" t="s">
        <v>32</v>
      </c>
      <c r="H30" t="s">
        <v>176</v>
      </c>
      <c r="I30" t="s">
        <v>174</v>
      </c>
      <c r="J30">
        <v>0</v>
      </c>
      <c r="K30" t="s">
        <v>32</v>
      </c>
      <c r="L30">
        <v>5</v>
      </c>
      <c r="M30">
        <v>0</v>
      </c>
      <c r="N30" t="s">
        <v>200</v>
      </c>
      <c r="O30" t="s">
        <v>73</v>
      </c>
      <c r="P30" t="str">
        <f>INDEX(Teams!$B:$B,MATCH(E30,Teams!$A:$A,0))</f>
        <v>Kolkata Knight Riders</v>
      </c>
      <c r="Q30" t="str">
        <f>INDEX(Teams!$B:$B,MATCH(F30,Teams!$A:$A,0))</f>
        <v>Royal Challengers Bangalore</v>
      </c>
      <c r="R30" t="str">
        <f>INDEX(Teams!$B:$B,MATCH(G30,Teams!$A:$A,0))</f>
        <v>Kolkata Knight Riders</v>
      </c>
      <c r="S30" t="str">
        <f>IF(K30="","No result",INDEX(Teams!$B:$B,MATCH(K30,Teams!$A:$A,0)))</f>
        <v>Kolkata Knight Riders</v>
      </c>
      <c r="T30" t="str">
        <f>INDEX(Venues!$B:$B,MATCH(O30,Venues!$A:$A,0))</f>
        <v>Eden Gardens</v>
      </c>
      <c r="U30" t="str">
        <f>INDEX(Venues!$C:$C,MATCH(O30,Venues!$A:$A,0))</f>
        <v>Kolkata</v>
      </c>
      <c r="V30" t="str">
        <f>IF(L30&gt;0,L30&amp;" runs",IF(M30&gt;0,M30&amp;" wickets","-"))</f>
        <v>5 runs</v>
      </c>
      <c r="W30">
        <f>IF(G30=K30,1,0)</f>
        <v>1</v>
      </c>
      <c r="X30">
        <f>IF(L30&gt;0,L30,"")</f>
        <v>5</v>
      </c>
      <c r="Y30">
        <f>IF(X30="","",IF(X30&gt;Stats!$B$15,"Outlier",""))</f>
        <v/>
      </c>
      <c r="Z30" t="str">
        <f>P30&amp;" vs "&amp;Q30</f>
        <v>Kolkata Knight Riders vs Royal Challengers Bangalore</v>
      </c>
    </row>
    <row r="31" spans="1:26" x14ac:dyDescent="0.25">
      <c r="A31">
        <v>89</v>
      </c>
      <c r="B31">
        <v>2008</v>
      </c>
      <c r="C31" s="5">
        <v>39577</v>
      </c>
      <c r="D31" t="s">
        <v>172</v>
      </c>
      <c r="E31" t="s">
        <v>16</v>
      </c>
      <c r="F31" t="s">
        <v>41</v>
      </c>
      <c r="G31" t="s">
        <v>41</v>
      </c>
      <c r="H31" t="s">
        <v>173</v>
      </c>
      <c r="I31" t="s">
        <v>174</v>
      </c>
      <c r="J31">
        <v>0</v>
      </c>
      <c r="K31" t="s">
        <v>41</v>
      </c>
      <c r="L31">
        <v>0</v>
      </c>
      <c r="M31">
        <v>8</v>
      </c>
      <c r="N31" t="s">
        <v>184</v>
      </c>
      <c r="O31" t="s">
        <v>118</v>
      </c>
      <c r="P31" t="str">
        <f>INDEX(Teams!$B:$B,MATCH(E31,Teams!$A:$A,0))</f>
        <v>Deccan Chargers</v>
      </c>
      <c r="Q31" t="str">
        <f>INDEX(Teams!$B:$B,MATCH(F31,Teams!$A:$A,0))</f>
        <v>Rajasthan Royals</v>
      </c>
      <c r="R31" t="str">
        <f>INDEX(Teams!$B:$B,MATCH(G31,Teams!$A:$A,0))</f>
        <v>Rajasthan Royals</v>
      </c>
      <c r="S31" t="str">
        <f>IF(K31="","No result",INDEX(Teams!$B:$B,MATCH(K31,Teams!$A:$A,0)))</f>
        <v>Rajasthan Royals</v>
      </c>
      <c r="T31" t="str">
        <f>INDEX(Venues!$B:$B,MATCH(O31,Venues!$A:$A,0))</f>
        <v>Sawai Mansingh Stadium</v>
      </c>
      <c r="U31" t="str">
        <f>INDEX(Venues!$C:$C,MATCH(O31,Venues!$A:$A,0))</f>
        <v>Jaipur</v>
      </c>
      <c r="V31" t="str">
        <f>IF(L31&gt;0,L31&amp;" runs",IF(M31&gt;0,M31&amp;" wickets","-"))</f>
        <v>8 wickets</v>
      </c>
      <c r="W31">
        <f>IF(G31=K31,1,0)</f>
        <v>1</v>
      </c>
      <c r="X31">
        <f>IF(L31&gt;0,L31,"")</f>
        <v/>
      </c>
      <c r="Y31">
        <f>IF(X31="","",IF(X31&gt;Stats!$B$15,"Outlier",""))</f>
        <v/>
      </c>
      <c r="Z31" t="str">
        <f>P31&amp;" vs "&amp;Q31</f>
        <v>Deccan Chargers vs Rajasthan Royals</v>
      </c>
    </row>
    <row r="32" spans="1:26" x14ac:dyDescent="0.25">
      <c r="A32">
        <v>91</v>
      </c>
      <c r="B32">
        <v>2008</v>
      </c>
      <c r="C32" s="5">
        <v>39578</v>
      </c>
      <c r="D32" t="s">
        <v>172</v>
      </c>
      <c r="E32" t="s">
        <v>12</v>
      </c>
      <c r="F32" t="s">
        <v>26</v>
      </c>
      <c r="G32" t="s">
        <v>26</v>
      </c>
      <c r="H32" t="s">
        <v>173</v>
      </c>
      <c r="I32" t="s">
        <v>174</v>
      </c>
      <c r="J32">
        <v>0</v>
      </c>
      <c r="K32" t="s">
        <v>12</v>
      </c>
      <c r="L32">
        <v>18</v>
      </c>
      <c r="M32">
        <v>0</v>
      </c>
      <c r="N32" t="s">
        <v>201</v>
      </c>
      <c r="O32" t="s">
        <v>94</v>
      </c>
      <c r="P32" t="str">
        <f>INDEX(Teams!$B:$B,MATCH(E32,Teams!$A:$A,0))</f>
        <v>Chennai Super Kings</v>
      </c>
      <c r="Q32" t="str">
        <f>INDEX(Teams!$B:$B,MATCH(F32,Teams!$A:$A,0))</f>
        <v>Kings XI Punjab</v>
      </c>
      <c r="R32" t="str">
        <f>INDEX(Teams!$B:$B,MATCH(G32,Teams!$A:$A,0))</f>
        <v>Kings XI Punjab</v>
      </c>
      <c r="S32" t="str">
        <f>IF(K32="","No result",INDEX(Teams!$B:$B,MATCH(K32,Teams!$A:$A,0)))</f>
        <v>Chennai Super Kings</v>
      </c>
      <c r="T32" t="str">
        <f>INDEX(Venues!$B:$B,MATCH(O32,Venues!$A:$A,0))</f>
        <v>MA Chidambaram Stadium</v>
      </c>
      <c r="U32" t="str">
        <f>INDEX(Venues!$C:$C,MATCH(O32,Venues!$A:$A,0))</f>
        <v>Chennai</v>
      </c>
      <c r="V32" t="str">
        <f>IF(L32&gt;0,L32&amp;" runs",IF(M32&gt;0,M32&amp;" wickets","-"))</f>
        <v>18 runs</v>
      </c>
      <c r="W32">
        <f>IF(G32=K32,1,0)</f>
        <v>0</v>
      </c>
      <c r="X32">
        <f>IF(L32&gt;0,L32,"")</f>
        <v>18</v>
      </c>
      <c r="Y32">
        <f>IF(X32="","",IF(X32&gt;Stats!$B$15,"Outlier",""))</f>
        <v/>
      </c>
      <c r="Z32" t="str">
        <f>P32&amp;" vs "&amp;Q32</f>
        <v>Chennai Super Kings vs Kings XI Punjab</v>
      </c>
    </row>
    <row r="33" spans="1:26" x14ac:dyDescent="0.25">
      <c r="A33">
        <v>92</v>
      </c>
      <c r="B33">
        <v>2008</v>
      </c>
      <c r="C33" s="5">
        <v>39579</v>
      </c>
      <c r="D33" t="s">
        <v>172</v>
      </c>
      <c r="E33" t="s">
        <v>32</v>
      </c>
      <c r="F33" t="s">
        <v>16</v>
      </c>
      <c r="G33" t="s">
        <v>32</v>
      </c>
      <c r="H33" t="s">
        <v>176</v>
      </c>
      <c r="I33" t="s">
        <v>174</v>
      </c>
      <c r="J33">
        <v>0</v>
      </c>
      <c r="K33" t="s">
        <v>32</v>
      </c>
      <c r="L33">
        <v>23</v>
      </c>
      <c r="M33">
        <v>0</v>
      </c>
      <c r="N33" t="s">
        <v>200</v>
      </c>
      <c r="O33" t="s">
        <v>111</v>
      </c>
      <c r="P33" t="str">
        <f>INDEX(Teams!$B:$B,MATCH(E33,Teams!$A:$A,0))</f>
        <v>Kolkata Knight Riders</v>
      </c>
      <c r="Q33" t="str">
        <f>INDEX(Teams!$B:$B,MATCH(F33,Teams!$A:$A,0))</f>
        <v>Deccan Chargers</v>
      </c>
      <c r="R33" t="str">
        <f>INDEX(Teams!$B:$B,MATCH(G33,Teams!$A:$A,0))</f>
        <v>Kolkata Knight Riders</v>
      </c>
      <c r="S33" t="str">
        <f>IF(K33="","No result",INDEX(Teams!$B:$B,MATCH(K33,Teams!$A:$A,0)))</f>
        <v>Kolkata Knight Riders</v>
      </c>
      <c r="T33" t="str">
        <f>INDEX(Venues!$B:$B,MATCH(O33,Venues!$A:$A,0))</f>
        <v>Rajiv Gandhi International Stadium</v>
      </c>
      <c r="U33" t="str">
        <f>INDEX(Venues!$C:$C,MATCH(O33,Venues!$A:$A,0))</f>
        <v>Hyderabad</v>
      </c>
      <c r="V33" t="str">
        <f>IF(L33&gt;0,L33&amp;" runs",IF(M33&gt;0,M33&amp;" wickets","-"))</f>
        <v>23 runs</v>
      </c>
      <c r="W33">
        <f>IF(G33=K33,1,0)</f>
        <v>1</v>
      </c>
      <c r="X33">
        <f>IF(L33&gt;0,L33,"")</f>
        <v>23</v>
      </c>
      <c r="Y33">
        <f>IF(X33="","",IF(X33&gt;Stats!$B$15,"Outlier",""))</f>
        <v/>
      </c>
      <c r="Z33" t="str">
        <f>P33&amp;" vs "&amp;Q33</f>
        <v>Kolkata Knight Riders vs Deccan Chargers</v>
      </c>
    </row>
    <row r="34" spans="1:26" x14ac:dyDescent="0.25">
      <c r="A34">
        <v>93</v>
      </c>
      <c r="B34">
        <v>2008</v>
      </c>
      <c r="C34" s="5">
        <v>39579</v>
      </c>
      <c r="D34" t="s">
        <v>172</v>
      </c>
      <c r="E34" t="s">
        <v>20</v>
      </c>
      <c r="F34" t="s">
        <v>41</v>
      </c>
      <c r="G34" t="s">
        <v>41</v>
      </c>
      <c r="H34" t="s">
        <v>173</v>
      </c>
      <c r="I34" t="s">
        <v>174</v>
      </c>
      <c r="J34">
        <v>0</v>
      </c>
      <c r="K34" t="s">
        <v>41</v>
      </c>
      <c r="L34">
        <v>0</v>
      </c>
      <c r="M34">
        <v>3</v>
      </c>
      <c r="N34" t="s">
        <v>181</v>
      </c>
      <c r="O34" t="s">
        <v>118</v>
      </c>
      <c r="P34" t="str">
        <f>INDEX(Teams!$B:$B,MATCH(E34,Teams!$A:$A,0))</f>
        <v>Delhi Capitals</v>
      </c>
      <c r="Q34" t="str">
        <f>INDEX(Teams!$B:$B,MATCH(F34,Teams!$A:$A,0))</f>
        <v>Rajasthan Royals</v>
      </c>
      <c r="R34" t="str">
        <f>INDEX(Teams!$B:$B,MATCH(G34,Teams!$A:$A,0))</f>
        <v>Rajasthan Royals</v>
      </c>
      <c r="S34" t="str">
        <f>IF(K34="","No result",INDEX(Teams!$B:$B,MATCH(K34,Teams!$A:$A,0)))</f>
        <v>Rajasthan Royals</v>
      </c>
      <c r="T34" t="str">
        <f>INDEX(Venues!$B:$B,MATCH(O34,Venues!$A:$A,0))</f>
        <v>Sawai Mansingh Stadium</v>
      </c>
      <c r="U34" t="str">
        <f>INDEX(Venues!$C:$C,MATCH(O34,Venues!$A:$A,0))</f>
        <v>Jaipur</v>
      </c>
      <c r="V34" t="str">
        <f>IF(L34&gt;0,L34&amp;" runs",IF(M34&gt;0,M34&amp;" wickets","-"))</f>
        <v>3 wickets</v>
      </c>
      <c r="W34">
        <f>IF(G34=K34,1,0)</f>
        <v>1</v>
      </c>
      <c r="X34">
        <f>IF(L34&gt;0,L34,"")</f>
        <v/>
      </c>
      <c r="Y34">
        <f>IF(X34="","",IF(X34&gt;Stats!$B$15,"Outlier",""))</f>
        <v/>
      </c>
      <c r="Z34" t="str">
        <f>P34&amp;" vs "&amp;Q34</f>
        <v>Delhi Capitals vs Rajasthan Royals</v>
      </c>
    </row>
    <row r="35" spans="1:26" x14ac:dyDescent="0.25">
      <c r="A35">
        <v>94</v>
      </c>
      <c r="B35">
        <v>2008</v>
      </c>
      <c r="C35" s="5">
        <v>39580</v>
      </c>
      <c r="D35" t="s">
        <v>172</v>
      </c>
      <c r="E35" t="s">
        <v>46</v>
      </c>
      <c r="F35" t="s">
        <v>26</v>
      </c>
      <c r="G35" t="s">
        <v>46</v>
      </c>
      <c r="H35" t="s">
        <v>176</v>
      </c>
      <c r="I35" t="s">
        <v>174</v>
      </c>
      <c r="J35">
        <v>0</v>
      </c>
      <c r="K35" t="s">
        <v>26</v>
      </c>
      <c r="L35">
        <v>0</v>
      </c>
      <c r="M35">
        <v>9</v>
      </c>
      <c r="N35" t="s">
        <v>192</v>
      </c>
      <c r="O35" t="s">
        <v>109</v>
      </c>
      <c r="P35" t="str">
        <f>INDEX(Teams!$B:$B,MATCH(E35,Teams!$A:$A,0))</f>
        <v>Royal Challengers Bangalore</v>
      </c>
      <c r="Q35" t="str">
        <f>INDEX(Teams!$B:$B,MATCH(F35,Teams!$A:$A,0))</f>
        <v>Kings XI Punjab</v>
      </c>
      <c r="R35" t="str">
        <f>INDEX(Teams!$B:$B,MATCH(G35,Teams!$A:$A,0))</f>
        <v>Royal Challengers Bangalore</v>
      </c>
      <c r="S35" t="str">
        <f>IF(K35="","No result",INDEX(Teams!$B:$B,MATCH(K35,Teams!$A:$A,0)))</f>
        <v>Kings XI Punjab</v>
      </c>
      <c r="T35" t="str">
        <f>INDEX(Venues!$B:$B,MATCH(O35,Venues!$A:$A,0))</f>
        <v>Punjab Cricket Association IS Bindra Stadium</v>
      </c>
      <c r="U35" t="str">
        <f>INDEX(Venues!$C:$C,MATCH(O35,Venues!$A:$A,0))</f>
        <v>Chandigarh</v>
      </c>
      <c r="V35" t="str">
        <f>IF(L35&gt;0,L35&amp;" runs",IF(M35&gt;0,M35&amp;" wickets","-"))</f>
        <v>9 wickets</v>
      </c>
      <c r="W35">
        <f>IF(G35=K35,1,0)</f>
        <v>0</v>
      </c>
      <c r="X35">
        <f>IF(L35&gt;0,L35,"")</f>
        <v/>
      </c>
      <c r="Y35">
        <f>IF(X35="","",IF(X35&gt;Stats!$B$15,"Outlier",""))</f>
        <v/>
      </c>
      <c r="Z35" t="str">
        <f>P35&amp;" vs "&amp;Q35</f>
        <v>Royal Challengers Bangalore vs Kings XI Punjab</v>
      </c>
    </row>
    <row r="36" spans="1:26" x14ac:dyDescent="0.25">
      <c r="A36">
        <v>95</v>
      </c>
      <c r="B36">
        <v>2008</v>
      </c>
      <c r="C36" s="5">
        <v>39581</v>
      </c>
      <c r="D36" t="s">
        <v>172</v>
      </c>
      <c r="E36" t="s">
        <v>32</v>
      </c>
      <c r="F36" t="s">
        <v>20</v>
      </c>
      <c r="G36" t="s">
        <v>32</v>
      </c>
      <c r="H36" t="s">
        <v>176</v>
      </c>
      <c r="I36" t="s">
        <v>174</v>
      </c>
      <c r="J36">
        <v>0</v>
      </c>
      <c r="K36" t="s">
        <v>32</v>
      </c>
      <c r="L36">
        <v>23</v>
      </c>
      <c r="M36">
        <v>0</v>
      </c>
      <c r="N36" t="s">
        <v>202</v>
      </c>
      <c r="O36" t="s">
        <v>73</v>
      </c>
      <c r="P36" t="str">
        <f>INDEX(Teams!$B:$B,MATCH(E36,Teams!$A:$A,0))</f>
        <v>Kolkata Knight Riders</v>
      </c>
      <c r="Q36" t="str">
        <f>INDEX(Teams!$B:$B,MATCH(F36,Teams!$A:$A,0))</f>
        <v>Delhi Capitals</v>
      </c>
      <c r="R36" t="str">
        <f>INDEX(Teams!$B:$B,MATCH(G36,Teams!$A:$A,0))</f>
        <v>Kolkata Knight Riders</v>
      </c>
      <c r="S36" t="str">
        <f>IF(K36="","No result",INDEX(Teams!$B:$B,MATCH(K36,Teams!$A:$A,0)))</f>
        <v>Kolkata Knight Riders</v>
      </c>
      <c r="T36" t="str">
        <f>INDEX(Venues!$B:$B,MATCH(O36,Venues!$A:$A,0))</f>
        <v>Eden Gardens</v>
      </c>
      <c r="U36" t="str">
        <f>INDEX(Venues!$C:$C,MATCH(O36,Venues!$A:$A,0))</f>
        <v>Kolkata</v>
      </c>
      <c r="V36" t="str">
        <f>IF(L36&gt;0,L36&amp;" runs",IF(M36&gt;0,M36&amp;" wickets","-"))</f>
        <v>23 runs</v>
      </c>
      <c r="W36">
        <f>IF(G36=K36,1,0)</f>
        <v>1</v>
      </c>
      <c r="X36">
        <f>IF(L36&gt;0,L36,"")</f>
        <v>23</v>
      </c>
      <c r="Y36">
        <f>IF(X36="","",IF(X36&gt;Stats!$B$15,"Outlier",""))</f>
        <v/>
      </c>
      <c r="Z36" t="str">
        <f>P36&amp;" vs "&amp;Q36</f>
        <v>Kolkata Knight Riders vs Delhi Capitals</v>
      </c>
    </row>
    <row r="37" spans="1:26" x14ac:dyDescent="0.25">
      <c r="A37">
        <v>96</v>
      </c>
      <c r="B37">
        <v>2008</v>
      </c>
      <c r="C37" s="5">
        <v>39582</v>
      </c>
      <c r="D37" t="s">
        <v>172</v>
      </c>
      <c r="E37" t="s">
        <v>12</v>
      </c>
      <c r="F37" t="s">
        <v>35</v>
      </c>
      <c r="G37" t="s">
        <v>35</v>
      </c>
      <c r="H37" t="s">
        <v>173</v>
      </c>
      <c r="I37" t="s">
        <v>174</v>
      </c>
      <c r="J37">
        <v>0</v>
      </c>
      <c r="K37" t="s">
        <v>35</v>
      </c>
      <c r="L37">
        <v>0</v>
      </c>
      <c r="M37">
        <v>9</v>
      </c>
      <c r="N37" t="s">
        <v>190</v>
      </c>
      <c r="O37" t="s">
        <v>138</v>
      </c>
      <c r="P37" t="str">
        <f>INDEX(Teams!$B:$B,MATCH(E37,Teams!$A:$A,0))</f>
        <v>Chennai Super Kings</v>
      </c>
      <c r="Q37" t="str">
        <f>INDEX(Teams!$B:$B,MATCH(F37,Teams!$A:$A,0))</f>
        <v>Mumbai Indians</v>
      </c>
      <c r="R37" t="str">
        <f>INDEX(Teams!$B:$B,MATCH(G37,Teams!$A:$A,0))</f>
        <v>Mumbai Indians</v>
      </c>
      <c r="S37" t="str">
        <f>IF(K37="","No result",INDEX(Teams!$B:$B,MATCH(K37,Teams!$A:$A,0)))</f>
        <v>Mumbai Indians</v>
      </c>
      <c r="T37" t="str">
        <f>INDEX(Venues!$B:$B,MATCH(O37,Venues!$A:$A,0))</f>
        <v>Wankhede Stadium</v>
      </c>
      <c r="U37" t="str">
        <f>INDEX(Venues!$C:$C,MATCH(O37,Venues!$A:$A,0))</f>
        <v>Mumbai</v>
      </c>
      <c r="V37" t="str">
        <f>IF(L37&gt;0,L37&amp;" runs",IF(M37&gt;0,M37&amp;" wickets","-"))</f>
        <v>9 wickets</v>
      </c>
      <c r="W37">
        <f>IF(G37=K37,1,0)</f>
        <v>1</v>
      </c>
      <c r="X37">
        <f>IF(L37&gt;0,L37,"")</f>
        <v/>
      </c>
      <c r="Y37">
        <f>IF(X37="","",IF(X37&gt;Stats!$B$15,"Outlier",""))</f>
        <v/>
      </c>
      <c r="Z37" t="str">
        <f>P37&amp;" vs "&amp;Q37</f>
        <v>Chennai Super Kings vs Mumbai Indians</v>
      </c>
    </row>
    <row r="38" spans="1:26" x14ac:dyDescent="0.25">
      <c r="A38">
        <v>98</v>
      </c>
      <c r="B38">
        <v>2008</v>
      </c>
      <c r="C38" s="5">
        <v>39583</v>
      </c>
      <c r="D38" t="s">
        <v>172</v>
      </c>
      <c r="E38" t="s">
        <v>20</v>
      </c>
      <c r="F38" t="s">
        <v>16</v>
      </c>
      <c r="G38" t="s">
        <v>16</v>
      </c>
      <c r="H38" t="s">
        <v>173</v>
      </c>
      <c r="I38" t="s">
        <v>174</v>
      </c>
      <c r="J38">
        <v>0</v>
      </c>
      <c r="K38" t="s">
        <v>20</v>
      </c>
      <c r="L38">
        <v>12</v>
      </c>
      <c r="M38">
        <v>0</v>
      </c>
      <c r="N38" t="s">
        <v>203</v>
      </c>
      <c r="O38" t="s">
        <v>75</v>
      </c>
      <c r="P38" t="str">
        <f>INDEX(Teams!$B:$B,MATCH(E38,Teams!$A:$A,0))</f>
        <v>Delhi Capitals</v>
      </c>
      <c r="Q38" t="str">
        <f>INDEX(Teams!$B:$B,MATCH(F38,Teams!$A:$A,0))</f>
        <v>Deccan Chargers</v>
      </c>
      <c r="R38" t="str">
        <f>INDEX(Teams!$B:$B,MATCH(G38,Teams!$A:$A,0))</f>
        <v>Deccan Chargers</v>
      </c>
      <c r="S38" t="str">
        <f>IF(K38="","No result",INDEX(Teams!$B:$B,MATCH(K38,Teams!$A:$A,0)))</f>
        <v>Delhi Capitals</v>
      </c>
      <c r="T38" t="str">
        <f>INDEX(Venues!$B:$B,MATCH(O38,Venues!$A:$A,0))</f>
        <v>Feroz Shah Kotla</v>
      </c>
      <c r="U38" t="str">
        <f>INDEX(Venues!$C:$C,MATCH(O38,Venues!$A:$A,0))</f>
        <v>Delhi</v>
      </c>
      <c r="V38" t="str">
        <f>IF(L38&gt;0,L38&amp;" runs",IF(M38&gt;0,M38&amp;" wickets","-"))</f>
        <v>12 runs</v>
      </c>
      <c r="W38">
        <f>IF(G38=K38,1,0)</f>
        <v>0</v>
      </c>
      <c r="X38">
        <f>IF(L38&gt;0,L38,"")</f>
        <v>12</v>
      </c>
      <c r="Y38">
        <f>IF(X38="","",IF(X38&gt;Stats!$B$15,"Outlier",""))</f>
        <v/>
      </c>
      <c r="Z38" t="str">
        <f>P38&amp;" vs "&amp;Q38</f>
        <v>Delhi Capitals vs Deccan Chargers</v>
      </c>
    </row>
    <row r="39" spans="1:26" x14ac:dyDescent="0.25">
      <c r="A39">
        <v>99</v>
      </c>
      <c r="B39">
        <v>2008</v>
      </c>
      <c r="C39" s="5">
        <v>39584</v>
      </c>
      <c r="D39" t="s">
        <v>172</v>
      </c>
      <c r="E39" t="s">
        <v>32</v>
      </c>
      <c r="F39" t="s">
        <v>35</v>
      </c>
      <c r="G39" t="s">
        <v>35</v>
      </c>
      <c r="H39" t="s">
        <v>173</v>
      </c>
      <c r="I39" t="s">
        <v>174</v>
      </c>
      <c r="J39">
        <v>0</v>
      </c>
      <c r="K39" t="s">
        <v>35</v>
      </c>
      <c r="L39">
        <v>0</v>
      </c>
      <c r="M39">
        <v>8</v>
      </c>
      <c r="N39" t="s">
        <v>196</v>
      </c>
      <c r="O39" t="s">
        <v>138</v>
      </c>
      <c r="P39" t="str">
        <f>INDEX(Teams!$B:$B,MATCH(E39,Teams!$A:$A,0))</f>
        <v>Kolkata Knight Riders</v>
      </c>
      <c r="Q39" t="str">
        <f>INDEX(Teams!$B:$B,MATCH(F39,Teams!$A:$A,0))</f>
        <v>Mumbai Indians</v>
      </c>
      <c r="R39" t="str">
        <f>INDEX(Teams!$B:$B,MATCH(G39,Teams!$A:$A,0))</f>
        <v>Mumbai Indians</v>
      </c>
      <c r="S39" t="str">
        <f>IF(K39="","No result",INDEX(Teams!$B:$B,MATCH(K39,Teams!$A:$A,0)))</f>
        <v>Mumbai Indians</v>
      </c>
      <c r="T39" t="str">
        <f>INDEX(Venues!$B:$B,MATCH(O39,Venues!$A:$A,0))</f>
        <v>Wankhede Stadium</v>
      </c>
      <c r="U39" t="str">
        <f>INDEX(Venues!$C:$C,MATCH(O39,Venues!$A:$A,0))</f>
        <v>Mumbai</v>
      </c>
      <c r="V39" t="str">
        <f>IF(L39&gt;0,L39&amp;" runs",IF(M39&gt;0,M39&amp;" wickets","-"))</f>
        <v>8 wickets</v>
      </c>
      <c r="W39">
        <f>IF(G39=K39,1,0)</f>
        <v>1</v>
      </c>
      <c r="X39">
        <f>IF(L39&gt;0,L39,"")</f>
        <v/>
      </c>
      <c r="Y39">
        <f>IF(X39="","",IF(X39&gt;Stats!$B$15,"Outlier",""))</f>
        <v/>
      </c>
      <c r="Z39" t="str">
        <f>P39&amp;" vs "&amp;Q39</f>
        <v>Kolkata Knight Riders vs Mumbai Indians</v>
      </c>
    </row>
    <row r="40" spans="1:26" x14ac:dyDescent="0.25">
      <c r="A40">
        <v>100</v>
      </c>
      <c r="B40">
        <v>2008</v>
      </c>
      <c r="C40" s="5">
        <v>39585</v>
      </c>
      <c r="D40" t="s">
        <v>172</v>
      </c>
      <c r="E40" t="s">
        <v>20</v>
      </c>
      <c r="F40" t="s">
        <v>26</v>
      </c>
      <c r="G40" t="s">
        <v>20</v>
      </c>
      <c r="H40" t="s">
        <v>176</v>
      </c>
      <c r="I40" t="s">
        <v>174</v>
      </c>
      <c r="J40">
        <v>1</v>
      </c>
      <c r="K40" t="s">
        <v>26</v>
      </c>
      <c r="L40">
        <v>6</v>
      </c>
      <c r="M40">
        <v>0</v>
      </c>
      <c r="N40" t="s">
        <v>204</v>
      </c>
      <c r="O40" t="s">
        <v>75</v>
      </c>
      <c r="P40" t="str">
        <f>INDEX(Teams!$B:$B,MATCH(E40,Teams!$A:$A,0))</f>
        <v>Delhi Capitals</v>
      </c>
      <c r="Q40" t="str">
        <f>INDEX(Teams!$B:$B,MATCH(F40,Teams!$A:$A,0))</f>
        <v>Kings XI Punjab</v>
      </c>
      <c r="R40" t="str">
        <f>INDEX(Teams!$B:$B,MATCH(G40,Teams!$A:$A,0))</f>
        <v>Delhi Capitals</v>
      </c>
      <c r="S40" t="str">
        <f>IF(K40="","No result",INDEX(Teams!$B:$B,MATCH(K40,Teams!$A:$A,0)))</f>
        <v>Kings XI Punjab</v>
      </c>
      <c r="T40" t="str">
        <f>INDEX(Venues!$B:$B,MATCH(O40,Venues!$A:$A,0))</f>
        <v>Feroz Shah Kotla</v>
      </c>
      <c r="U40" t="str">
        <f>INDEX(Venues!$C:$C,MATCH(O40,Venues!$A:$A,0))</f>
        <v>Delhi</v>
      </c>
      <c r="V40" t="str">
        <f>IF(L40&gt;0,L40&amp;" runs",IF(M40&gt;0,M40&amp;" wickets","-"))</f>
        <v>6 runs</v>
      </c>
      <c r="W40">
        <f>IF(G40=K40,1,0)</f>
        <v>0</v>
      </c>
      <c r="X40">
        <f>IF(L40&gt;0,L40,"")</f>
        <v>6</v>
      </c>
      <c r="Y40">
        <f>IF(X40="","",IF(X40&gt;Stats!$B$15,"Outlier",""))</f>
        <v/>
      </c>
      <c r="Z40" t="str">
        <f>P40&amp;" vs "&amp;Q40</f>
        <v>Delhi Capitals vs Kings XI Punjab</v>
      </c>
    </row>
    <row r="41" spans="1:26" x14ac:dyDescent="0.25">
      <c r="A41">
        <v>101</v>
      </c>
      <c r="B41">
        <v>2008</v>
      </c>
      <c r="C41" s="5">
        <v>39585</v>
      </c>
      <c r="D41" t="s">
        <v>172</v>
      </c>
      <c r="E41" t="s">
        <v>41</v>
      </c>
      <c r="F41" t="s">
        <v>46</v>
      </c>
      <c r="G41" t="s">
        <v>46</v>
      </c>
      <c r="H41" t="s">
        <v>173</v>
      </c>
      <c r="I41" t="s">
        <v>174</v>
      </c>
      <c r="J41">
        <v>0</v>
      </c>
      <c r="K41" t="s">
        <v>41</v>
      </c>
      <c r="L41">
        <v>65</v>
      </c>
      <c r="M41">
        <v>0</v>
      </c>
      <c r="N41" t="s">
        <v>205</v>
      </c>
      <c r="O41" t="s">
        <v>118</v>
      </c>
      <c r="P41" t="str">
        <f>INDEX(Teams!$B:$B,MATCH(E41,Teams!$A:$A,0))</f>
        <v>Rajasthan Royals</v>
      </c>
      <c r="Q41" t="str">
        <f>INDEX(Teams!$B:$B,MATCH(F41,Teams!$A:$A,0))</f>
        <v>Royal Challengers Bangalore</v>
      </c>
      <c r="R41" t="str">
        <f>INDEX(Teams!$B:$B,MATCH(G41,Teams!$A:$A,0))</f>
        <v>Royal Challengers Bangalore</v>
      </c>
      <c r="S41" t="str">
        <f>IF(K41="","No result",INDEX(Teams!$B:$B,MATCH(K41,Teams!$A:$A,0)))</f>
        <v>Rajasthan Royals</v>
      </c>
      <c r="T41" t="str">
        <f>INDEX(Venues!$B:$B,MATCH(O41,Venues!$A:$A,0))</f>
        <v>Sawai Mansingh Stadium</v>
      </c>
      <c r="U41" t="str">
        <f>INDEX(Venues!$C:$C,MATCH(O41,Venues!$A:$A,0))</f>
        <v>Jaipur</v>
      </c>
      <c r="V41" t="str">
        <f>IF(L41&gt;0,L41&amp;" runs",IF(M41&gt;0,M41&amp;" wickets","-"))</f>
        <v>65 runs</v>
      </c>
      <c r="W41">
        <f>IF(G41=K41,1,0)</f>
        <v>0</v>
      </c>
      <c r="X41">
        <f>IF(L41&gt;0,L41,"")</f>
        <v>65</v>
      </c>
      <c r="Y41">
        <f>IF(X41="","",IF(X41&gt;Stats!$B$15,"Outlier",""))</f>
        <v/>
      </c>
      <c r="Z41" t="str">
        <f>P41&amp;" vs "&amp;Q41</f>
        <v>Rajasthan Royals vs Royal Challengers Bangalore</v>
      </c>
    </row>
    <row r="42" spans="1:26" x14ac:dyDescent="0.25">
      <c r="A42">
        <v>102</v>
      </c>
      <c r="B42">
        <v>2008</v>
      </c>
      <c r="C42" s="5">
        <v>39586</v>
      </c>
      <c r="D42" t="s">
        <v>172</v>
      </c>
      <c r="E42" t="s">
        <v>35</v>
      </c>
      <c r="F42" t="s">
        <v>16</v>
      </c>
      <c r="G42" t="s">
        <v>16</v>
      </c>
      <c r="H42" t="s">
        <v>173</v>
      </c>
      <c r="I42" t="s">
        <v>174</v>
      </c>
      <c r="J42">
        <v>0</v>
      </c>
      <c r="K42" t="s">
        <v>35</v>
      </c>
      <c r="L42">
        <v>25</v>
      </c>
      <c r="M42">
        <v>0</v>
      </c>
      <c r="N42" t="s">
        <v>206</v>
      </c>
      <c r="O42" t="s">
        <v>111</v>
      </c>
      <c r="P42" t="str">
        <f>INDEX(Teams!$B:$B,MATCH(E42,Teams!$A:$A,0))</f>
        <v>Mumbai Indians</v>
      </c>
      <c r="Q42" t="str">
        <f>INDEX(Teams!$B:$B,MATCH(F42,Teams!$A:$A,0))</f>
        <v>Deccan Chargers</v>
      </c>
      <c r="R42" t="str">
        <f>INDEX(Teams!$B:$B,MATCH(G42,Teams!$A:$A,0))</f>
        <v>Deccan Chargers</v>
      </c>
      <c r="S42" t="str">
        <f>IF(K42="","No result",INDEX(Teams!$B:$B,MATCH(K42,Teams!$A:$A,0)))</f>
        <v>Mumbai Indians</v>
      </c>
      <c r="T42" t="str">
        <f>INDEX(Venues!$B:$B,MATCH(O42,Venues!$A:$A,0))</f>
        <v>Rajiv Gandhi International Stadium</v>
      </c>
      <c r="U42" t="str">
        <f>INDEX(Venues!$C:$C,MATCH(O42,Venues!$A:$A,0))</f>
        <v>Hyderabad</v>
      </c>
      <c r="V42" t="str">
        <f>IF(L42&gt;0,L42&amp;" runs",IF(M42&gt;0,M42&amp;" wickets","-"))</f>
        <v>25 runs</v>
      </c>
      <c r="W42">
        <f>IF(G42=K42,1,0)</f>
        <v>0</v>
      </c>
      <c r="X42">
        <f>IF(L42&gt;0,L42,"")</f>
        <v>25</v>
      </c>
      <c r="Y42">
        <f>IF(X42="","",IF(X42&gt;Stats!$B$15,"Outlier",""))</f>
        <v/>
      </c>
      <c r="Z42" t="str">
        <f>P42&amp;" vs "&amp;Q42</f>
        <v>Mumbai Indians vs Deccan Chargers</v>
      </c>
    </row>
    <row r="43" spans="1:26" x14ac:dyDescent="0.25">
      <c r="A43">
        <v>103</v>
      </c>
      <c r="B43">
        <v>2008</v>
      </c>
      <c r="C43" s="5">
        <v>39586</v>
      </c>
      <c r="D43" t="s">
        <v>172</v>
      </c>
      <c r="E43" t="s">
        <v>32</v>
      </c>
      <c r="F43" t="s">
        <v>12</v>
      </c>
      <c r="G43" t="s">
        <v>32</v>
      </c>
      <c r="H43" t="s">
        <v>176</v>
      </c>
      <c r="I43" t="s">
        <v>174</v>
      </c>
      <c r="J43">
        <v>1</v>
      </c>
      <c r="K43" t="s">
        <v>12</v>
      </c>
      <c r="L43">
        <v>3</v>
      </c>
      <c r="M43">
        <v>0</v>
      </c>
      <c r="N43" t="s">
        <v>207</v>
      </c>
      <c r="O43" t="s">
        <v>73</v>
      </c>
      <c r="P43" t="str">
        <f>INDEX(Teams!$B:$B,MATCH(E43,Teams!$A:$A,0))</f>
        <v>Kolkata Knight Riders</v>
      </c>
      <c r="Q43" t="str">
        <f>INDEX(Teams!$B:$B,MATCH(F43,Teams!$A:$A,0))</f>
        <v>Chennai Super Kings</v>
      </c>
      <c r="R43" t="str">
        <f>INDEX(Teams!$B:$B,MATCH(G43,Teams!$A:$A,0))</f>
        <v>Kolkata Knight Riders</v>
      </c>
      <c r="S43" t="str">
        <f>IF(K43="","No result",INDEX(Teams!$B:$B,MATCH(K43,Teams!$A:$A,0)))</f>
        <v>Chennai Super Kings</v>
      </c>
      <c r="T43" t="str">
        <f>INDEX(Venues!$B:$B,MATCH(O43,Venues!$A:$A,0))</f>
        <v>Eden Gardens</v>
      </c>
      <c r="U43" t="str">
        <f>INDEX(Venues!$C:$C,MATCH(O43,Venues!$A:$A,0))</f>
        <v>Kolkata</v>
      </c>
      <c r="V43" t="str">
        <f>IF(L43&gt;0,L43&amp;" runs",IF(M43&gt;0,M43&amp;" wickets","-"))</f>
        <v>3 runs</v>
      </c>
      <c r="W43">
        <f>IF(G43=K43,1,0)</f>
        <v>0</v>
      </c>
      <c r="X43">
        <f>IF(L43&gt;0,L43,"")</f>
        <v>3</v>
      </c>
      <c r="Y43">
        <f>IF(X43="","",IF(X43&gt;Stats!$B$15,"Outlier",""))</f>
        <v/>
      </c>
      <c r="Z43" t="str">
        <f>P43&amp;" vs "&amp;Q43</f>
        <v>Kolkata Knight Riders vs Chennai Super Kings</v>
      </c>
    </row>
    <row r="44" spans="1:26" x14ac:dyDescent="0.25">
      <c r="A44">
        <v>104</v>
      </c>
      <c r="B44">
        <v>2008</v>
      </c>
      <c r="C44" s="5">
        <v>39587</v>
      </c>
      <c r="D44" t="s">
        <v>172</v>
      </c>
      <c r="E44" t="s">
        <v>46</v>
      </c>
      <c r="F44" t="s">
        <v>20</v>
      </c>
      <c r="G44" t="s">
        <v>20</v>
      </c>
      <c r="H44" t="s">
        <v>173</v>
      </c>
      <c r="I44" t="s">
        <v>174</v>
      </c>
      <c r="J44">
        <v>0</v>
      </c>
      <c r="K44" t="s">
        <v>20</v>
      </c>
      <c r="L44">
        <v>0</v>
      </c>
      <c r="M44">
        <v>5</v>
      </c>
      <c r="N44" t="s">
        <v>208</v>
      </c>
      <c r="O44" t="s">
        <v>92</v>
      </c>
      <c r="P44" t="str">
        <f>INDEX(Teams!$B:$B,MATCH(E44,Teams!$A:$A,0))</f>
        <v>Royal Challengers Bangalore</v>
      </c>
      <c r="Q44" t="str">
        <f>INDEX(Teams!$B:$B,MATCH(F44,Teams!$A:$A,0))</f>
        <v>Delhi Capitals</v>
      </c>
      <c r="R44" t="str">
        <f>INDEX(Teams!$B:$B,MATCH(G44,Teams!$A:$A,0))</f>
        <v>Delhi Capitals</v>
      </c>
      <c r="S44" t="str">
        <f>IF(K44="","No result",INDEX(Teams!$B:$B,MATCH(K44,Teams!$A:$A,0)))</f>
        <v>Delhi Capitals</v>
      </c>
      <c r="T44" t="str">
        <f>INDEX(Venues!$B:$B,MATCH(O44,Venues!$A:$A,0))</f>
        <v>M Chinnaswamy Stadium</v>
      </c>
      <c r="U44" t="str">
        <f>INDEX(Venues!$C:$C,MATCH(O44,Venues!$A:$A,0))</f>
        <v>Bangalore</v>
      </c>
      <c r="V44" t="str">
        <f>IF(L44&gt;0,L44&amp;" runs",IF(M44&gt;0,M44&amp;" wickets","-"))</f>
        <v>5 wickets</v>
      </c>
      <c r="W44">
        <f>IF(G44=K44,1,0)</f>
        <v>1</v>
      </c>
      <c r="X44">
        <f>IF(L44&gt;0,L44,"")</f>
        <v/>
      </c>
      <c r="Y44">
        <f>IF(X44="","",IF(X44&gt;Stats!$B$15,"Outlier",""))</f>
        <v/>
      </c>
      <c r="Z44" t="str">
        <f>P44&amp;" vs "&amp;Q44</f>
        <v>Royal Challengers Bangalore vs Delhi Capitals</v>
      </c>
    </row>
    <row r="45" spans="1:26" x14ac:dyDescent="0.25">
      <c r="A45">
        <v>105</v>
      </c>
      <c r="B45">
        <v>2008</v>
      </c>
      <c r="C45" s="5">
        <v>39588</v>
      </c>
      <c r="D45" t="s">
        <v>172</v>
      </c>
      <c r="E45" t="s">
        <v>32</v>
      </c>
      <c r="F45" t="s">
        <v>41</v>
      </c>
      <c r="G45" t="s">
        <v>41</v>
      </c>
      <c r="H45" t="s">
        <v>173</v>
      </c>
      <c r="I45" t="s">
        <v>174</v>
      </c>
      <c r="J45">
        <v>0</v>
      </c>
      <c r="K45" t="s">
        <v>41</v>
      </c>
      <c r="L45">
        <v>0</v>
      </c>
      <c r="M45">
        <v>6</v>
      </c>
      <c r="N45" t="s">
        <v>184</v>
      </c>
      <c r="O45" t="s">
        <v>73</v>
      </c>
      <c r="P45" t="str">
        <f>INDEX(Teams!$B:$B,MATCH(E45,Teams!$A:$A,0))</f>
        <v>Kolkata Knight Riders</v>
      </c>
      <c r="Q45" t="str">
        <f>INDEX(Teams!$B:$B,MATCH(F45,Teams!$A:$A,0))</f>
        <v>Rajasthan Royals</v>
      </c>
      <c r="R45" t="str">
        <f>INDEX(Teams!$B:$B,MATCH(G45,Teams!$A:$A,0))</f>
        <v>Rajasthan Royals</v>
      </c>
      <c r="S45" t="str">
        <f>IF(K45="","No result",INDEX(Teams!$B:$B,MATCH(K45,Teams!$A:$A,0)))</f>
        <v>Rajasthan Royals</v>
      </c>
      <c r="T45" t="str">
        <f>INDEX(Venues!$B:$B,MATCH(O45,Venues!$A:$A,0))</f>
        <v>Eden Gardens</v>
      </c>
      <c r="U45" t="str">
        <f>INDEX(Venues!$C:$C,MATCH(O45,Venues!$A:$A,0))</f>
        <v>Kolkata</v>
      </c>
      <c r="V45" t="str">
        <f>IF(L45&gt;0,L45&amp;" runs",IF(M45&gt;0,M45&amp;" wickets","-"))</f>
        <v>6 wickets</v>
      </c>
      <c r="W45">
        <f>IF(G45=K45,1,0)</f>
        <v>1</v>
      </c>
      <c r="X45">
        <f>IF(L45&gt;0,L45,"")</f>
        <v/>
      </c>
      <c r="Y45">
        <f>IF(X45="","",IF(X45&gt;Stats!$B$15,"Outlier",""))</f>
        <v/>
      </c>
      <c r="Z45" t="str">
        <f>P45&amp;" vs "&amp;Q45</f>
        <v>Kolkata Knight Riders vs Rajasthan Royals</v>
      </c>
    </row>
    <row r="46" spans="1:26" x14ac:dyDescent="0.25">
      <c r="A46">
        <v>106</v>
      </c>
      <c r="B46">
        <v>2008</v>
      </c>
      <c r="C46" s="5">
        <v>39589</v>
      </c>
      <c r="D46" t="s">
        <v>172</v>
      </c>
      <c r="E46" t="s">
        <v>26</v>
      </c>
      <c r="F46" t="s">
        <v>35</v>
      </c>
      <c r="G46" t="s">
        <v>35</v>
      </c>
      <c r="H46" t="s">
        <v>173</v>
      </c>
      <c r="I46" t="s">
        <v>174</v>
      </c>
      <c r="J46">
        <v>0</v>
      </c>
      <c r="K46" t="s">
        <v>26</v>
      </c>
      <c r="L46">
        <v>1</v>
      </c>
      <c r="M46">
        <v>0</v>
      </c>
      <c r="N46" t="s">
        <v>192</v>
      </c>
      <c r="O46" t="s">
        <v>138</v>
      </c>
      <c r="P46" t="str">
        <f>INDEX(Teams!$B:$B,MATCH(E46,Teams!$A:$A,0))</f>
        <v>Kings XI Punjab</v>
      </c>
      <c r="Q46" t="str">
        <f>INDEX(Teams!$B:$B,MATCH(F46,Teams!$A:$A,0))</f>
        <v>Mumbai Indians</v>
      </c>
      <c r="R46" t="str">
        <f>INDEX(Teams!$B:$B,MATCH(G46,Teams!$A:$A,0))</f>
        <v>Mumbai Indians</v>
      </c>
      <c r="S46" t="str">
        <f>IF(K46="","No result",INDEX(Teams!$B:$B,MATCH(K46,Teams!$A:$A,0)))</f>
        <v>Kings XI Punjab</v>
      </c>
      <c r="T46" t="str">
        <f>INDEX(Venues!$B:$B,MATCH(O46,Venues!$A:$A,0))</f>
        <v>Wankhede Stadium</v>
      </c>
      <c r="U46" t="str">
        <f>INDEX(Venues!$C:$C,MATCH(O46,Venues!$A:$A,0))</f>
        <v>Mumbai</v>
      </c>
      <c r="V46" t="str">
        <f>IF(L46&gt;0,L46&amp;" runs",IF(M46&gt;0,M46&amp;" wickets","-"))</f>
        <v>1 runs</v>
      </c>
      <c r="W46">
        <f>IF(G46=K46,1,0)</f>
        <v>0</v>
      </c>
      <c r="X46">
        <f>IF(L46&gt;0,L46,"")</f>
        <v>1</v>
      </c>
      <c r="Y46">
        <f>IF(X46="","",IF(X46&gt;Stats!$B$15,"Outlier",""))</f>
        <v/>
      </c>
      <c r="Z46" t="str">
        <f>P46&amp;" vs "&amp;Q46</f>
        <v>Kings XI Punjab vs Mumbai Indians</v>
      </c>
    </row>
    <row r="47" spans="1:26" x14ac:dyDescent="0.25">
      <c r="A47">
        <v>107</v>
      </c>
      <c r="B47">
        <v>2008</v>
      </c>
      <c r="C47" s="5">
        <v>39589</v>
      </c>
      <c r="D47" t="s">
        <v>172</v>
      </c>
      <c r="E47" t="s">
        <v>46</v>
      </c>
      <c r="F47" t="s">
        <v>12</v>
      </c>
      <c r="G47" t="s">
        <v>46</v>
      </c>
      <c r="H47" t="s">
        <v>176</v>
      </c>
      <c r="I47" t="s">
        <v>174</v>
      </c>
      <c r="J47">
        <v>0</v>
      </c>
      <c r="K47" t="s">
        <v>46</v>
      </c>
      <c r="L47">
        <v>14</v>
      </c>
      <c r="M47">
        <v>0</v>
      </c>
      <c r="N47" t="s">
        <v>209</v>
      </c>
      <c r="O47" t="s">
        <v>94</v>
      </c>
      <c r="P47" t="str">
        <f>INDEX(Teams!$B:$B,MATCH(E47,Teams!$A:$A,0))</f>
        <v>Royal Challengers Bangalore</v>
      </c>
      <c r="Q47" t="str">
        <f>INDEX(Teams!$B:$B,MATCH(F47,Teams!$A:$A,0))</f>
        <v>Chennai Super Kings</v>
      </c>
      <c r="R47" t="str">
        <f>INDEX(Teams!$B:$B,MATCH(G47,Teams!$A:$A,0))</f>
        <v>Royal Challengers Bangalore</v>
      </c>
      <c r="S47" t="str">
        <f>IF(K47="","No result",INDEX(Teams!$B:$B,MATCH(K47,Teams!$A:$A,0)))</f>
        <v>Royal Challengers Bangalore</v>
      </c>
      <c r="T47" t="str">
        <f>INDEX(Venues!$B:$B,MATCH(O47,Venues!$A:$A,0))</f>
        <v>MA Chidambaram Stadium</v>
      </c>
      <c r="U47" t="str">
        <f>INDEX(Venues!$C:$C,MATCH(O47,Venues!$A:$A,0))</f>
        <v>Chennai</v>
      </c>
      <c r="V47" t="str">
        <f>IF(L47&gt;0,L47&amp;" runs",IF(M47&gt;0,M47&amp;" wickets","-"))</f>
        <v>14 runs</v>
      </c>
      <c r="W47">
        <f>IF(G47=K47,1,0)</f>
        <v>1</v>
      </c>
      <c r="X47">
        <f>IF(L47&gt;0,L47,"")</f>
        <v>14</v>
      </c>
      <c r="Y47">
        <f>IF(X47="","",IF(X47&gt;Stats!$B$15,"Outlier",""))</f>
        <v/>
      </c>
      <c r="Z47" t="str">
        <f>P47&amp;" vs "&amp;Q47</f>
        <v>Royal Challengers Bangalore vs Chennai Super Kings</v>
      </c>
    </row>
    <row r="48" spans="1:26" x14ac:dyDescent="0.25">
      <c r="A48">
        <v>108</v>
      </c>
      <c r="B48">
        <v>2008</v>
      </c>
      <c r="C48" s="5">
        <v>39591</v>
      </c>
      <c r="D48" t="s">
        <v>172</v>
      </c>
      <c r="E48" t="s">
        <v>16</v>
      </c>
      <c r="F48" t="s">
        <v>26</v>
      </c>
      <c r="G48" t="s">
        <v>26</v>
      </c>
      <c r="H48" t="s">
        <v>173</v>
      </c>
      <c r="I48" t="s">
        <v>174</v>
      </c>
      <c r="J48">
        <v>0</v>
      </c>
      <c r="K48" t="s">
        <v>26</v>
      </c>
      <c r="L48">
        <v>0</v>
      </c>
      <c r="M48">
        <v>6</v>
      </c>
      <c r="N48" t="s">
        <v>192</v>
      </c>
      <c r="O48" t="s">
        <v>109</v>
      </c>
      <c r="P48" t="str">
        <f>INDEX(Teams!$B:$B,MATCH(E48,Teams!$A:$A,0))</f>
        <v>Deccan Chargers</v>
      </c>
      <c r="Q48" t="str">
        <f>INDEX(Teams!$B:$B,MATCH(F48,Teams!$A:$A,0))</f>
        <v>Kings XI Punjab</v>
      </c>
      <c r="R48" t="str">
        <f>INDEX(Teams!$B:$B,MATCH(G48,Teams!$A:$A,0))</f>
        <v>Kings XI Punjab</v>
      </c>
      <c r="S48" t="str">
        <f>IF(K48="","No result",INDEX(Teams!$B:$B,MATCH(K48,Teams!$A:$A,0)))</f>
        <v>Kings XI Punjab</v>
      </c>
      <c r="T48" t="str">
        <f>INDEX(Venues!$B:$B,MATCH(O48,Venues!$A:$A,0))</f>
        <v>Punjab Cricket Association IS Bindra Stadium</v>
      </c>
      <c r="U48" t="str">
        <f>INDEX(Venues!$C:$C,MATCH(O48,Venues!$A:$A,0))</f>
        <v>Chandigarh</v>
      </c>
      <c r="V48" t="str">
        <f>IF(L48&gt;0,L48&amp;" runs",IF(M48&gt;0,M48&amp;" wickets","-"))</f>
        <v>6 wickets</v>
      </c>
      <c r="W48">
        <f>IF(G48=K48,1,0)</f>
        <v>1</v>
      </c>
      <c r="X48">
        <f>IF(L48&gt;0,L48,"")</f>
        <v/>
      </c>
      <c r="Y48">
        <f>IF(X48="","",IF(X48&gt;Stats!$B$15,"Outlier",""))</f>
        <v/>
      </c>
      <c r="Z48" t="str">
        <f>P48&amp;" vs "&amp;Q48</f>
        <v>Deccan Chargers vs Kings XI Punjab</v>
      </c>
    </row>
    <row r="49" spans="1:26" x14ac:dyDescent="0.25">
      <c r="A49">
        <v>109</v>
      </c>
      <c r="B49">
        <v>2008</v>
      </c>
      <c r="C49" s="5">
        <v>39592</v>
      </c>
      <c r="D49" t="s">
        <v>172</v>
      </c>
      <c r="E49" t="s">
        <v>35</v>
      </c>
      <c r="F49" t="s">
        <v>20</v>
      </c>
      <c r="G49" t="s">
        <v>20</v>
      </c>
      <c r="H49" t="s">
        <v>173</v>
      </c>
      <c r="I49" t="s">
        <v>174</v>
      </c>
      <c r="J49">
        <v>0</v>
      </c>
      <c r="K49" t="s">
        <v>20</v>
      </c>
      <c r="L49">
        <v>0</v>
      </c>
      <c r="M49">
        <v>5</v>
      </c>
      <c r="N49" t="s">
        <v>210</v>
      </c>
      <c r="O49" t="s">
        <v>75</v>
      </c>
      <c r="P49" t="str">
        <f>INDEX(Teams!$B:$B,MATCH(E49,Teams!$A:$A,0))</f>
        <v>Mumbai Indians</v>
      </c>
      <c r="Q49" t="str">
        <f>INDEX(Teams!$B:$B,MATCH(F49,Teams!$A:$A,0))</f>
        <v>Delhi Capitals</v>
      </c>
      <c r="R49" t="str">
        <f>INDEX(Teams!$B:$B,MATCH(G49,Teams!$A:$A,0))</f>
        <v>Delhi Capitals</v>
      </c>
      <c r="S49" t="str">
        <f>IF(K49="","No result",INDEX(Teams!$B:$B,MATCH(K49,Teams!$A:$A,0)))</f>
        <v>Delhi Capitals</v>
      </c>
      <c r="T49" t="str">
        <f>INDEX(Venues!$B:$B,MATCH(O49,Venues!$A:$A,0))</f>
        <v>Feroz Shah Kotla</v>
      </c>
      <c r="U49" t="str">
        <f>INDEX(Venues!$C:$C,MATCH(O49,Venues!$A:$A,0))</f>
        <v>Delhi</v>
      </c>
      <c r="V49" t="str">
        <f>IF(L49&gt;0,L49&amp;" runs",IF(M49&gt;0,M49&amp;" wickets","-"))</f>
        <v>5 wickets</v>
      </c>
      <c r="W49">
        <f>IF(G49=K49,1,0)</f>
        <v>1</v>
      </c>
      <c r="X49">
        <f>IF(L49&gt;0,L49,"")</f>
        <v/>
      </c>
      <c r="Y49">
        <f>IF(X49="","",IF(X49&gt;Stats!$B$15,"Outlier",""))</f>
        <v/>
      </c>
      <c r="Z49" t="str">
        <f>P49&amp;" vs "&amp;Q49</f>
        <v>Mumbai Indians vs Delhi Capitals</v>
      </c>
    </row>
    <row r="50" spans="1:26" x14ac:dyDescent="0.25">
      <c r="A50">
        <v>110</v>
      </c>
      <c r="B50">
        <v>2008</v>
      </c>
      <c r="C50" s="5">
        <v>39592</v>
      </c>
      <c r="D50" t="s">
        <v>172</v>
      </c>
      <c r="E50" t="s">
        <v>41</v>
      </c>
      <c r="F50" t="s">
        <v>12</v>
      </c>
      <c r="G50" t="s">
        <v>41</v>
      </c>
      <c r="H50" t="s">
        <v>176</v>
      </c>
      <c r="I50" t="s">
        <v>174</v>
      </c>
      <c r="J50">
        <v>0</v>
      </c>
      <c r="K50" t="s">
        <v>41</v>
      </c>
      <c r="L50">
        <v>10</v>
      </c>
      <c r="M50">
        <v>0</v>
      </c>
      <c r="N50" t="s">
        <v>211</v>
      </c>
      <c r="O50" t="s">
        <v>94</v>
      </c>
      <c r="P50" t="str">
        <f>INDEX(Teams!$B:$B,MATCH(E50,Teams!$A:$A,0))</f>
        <v>Rajasthan Royals</v>
      </c>
      <c r="Q50" t="str">
        <f>INDEX(Teams!$B:$B,MATCH(F50,Teams!$A:$A,0))</f>
        <v>Chennai Super Kings</v>
      </c>
      <c r="R50" t="str">
        <f>INDEX(Teams!$B:$B,MATCH(G50,Teams!$A:$A,0))</f>
        <v>Rajasthan Royals</v>
      </c>
      <c r="S50" t="str">
        <f>IF(K50="","No result",INDEX(Teams!$B:$B,MATCH(K50,Teams!$A:$A,0)))</f>
        <v>Rajasthan Royals</v>
      </c>
      <c r="T50" t="str">
        <f>INDEX(Venues!$B:$B,MATCH(O50,Venues!$A:$A,0))</f>
        <v>MA Chidambaram Stadium</v>
      </c>
      <c r="U50" t="str">
        <f>INDEX(Venues!$C:$C,MATCH(O50,Venues!$A:$A,0))</f>
        <v>Chennai</v>
      </c>
      <c r="V50" t="str">
        <f>IF(L50&gt;0,L50&amp;" runs",IF(M50&gt;0,M50&amp;" wickets","-"))</f>
        <v>10 runs</v>
      </c>
      <c r="W50">
        <f>IF(G50=K50,1,0)</f>
        <v>1</v>
      </c>
      <c r="X50">
        <f>IF(L50&gt;0,L50,"")</f>
        <v>10</v>
      </c>
      <c r="Y50">
        <f>IF(X50="","",IF(X50&gt;Stats!$B$15,"Outlier",""))</f>
        <v/>
      </c>
      <c r="Z50" t="str">
        <f>P50&amp;" vs "&amp;Q50</f>
        <v>Rajasthan Royals vs Chennai Super Kings</v>
      </c>
    </row>
    <row r="51" spans="1:26" x14ac:dyDescent="0.25">
      <c r="A51">
        <v>80</v>
      </c>
      <c r="B51">
        <v>2008</v>
      </c>
      <c r="C51" s="5">
        <v>39593</v>
      </c>
      <c r="D51" t="s">
        <v>172</v>
      </c>
      <c r="E51" t="s">
        <v>16</v>
      </c>
      <c r="F51" t="s">
        <v>46</v>
      </c>
      <c r="G51" t="s">
        <v>16</v>
      </c>
      <c r="H51" t="s">
        <v>176</v>
      </c>
      <c r="I51" t="s">
        <v>174</v>
      </c>
      <c r="J51">
        <v>0</v>
      </c>
      <c r="K51" t="s">
        <v>46</v>
      </c>
      <c r="L51">
        <v>0</v>
      </c>
      <c r="M51">
        <v>5</v>
      </c>
      <c r="N51" t="s">
        <v>212</v>
      </c>
      <c r="O51" t="s">
        <v>111</v>
      </c>
      <c r="P51" t="str">
        <f>INDEX(Teams!$B:$B,MATCH(E51,Teams!$A:$A,0))</f>
        <v>Deccan Chargers</v>
      </c>
      <c r="Q51" t="str">
        <f>INDEX(Teams!$B:$B,MATCH(F51,Teams!$A:$A,0))</f>
        <v>Royal Challengers Bangalore</v>
      </c>
      <c r="R51" t="str">
        <f>INDEX(Teams!$B:$B,MATCH(G51,Teams!$A:$A,0))</f>
        <v>Deccan Chargers</v>
      </c>
      <c r="S51" t="str">
        <f>IF(K51="","No result",INDEX(Teams!$B:$B,MATCH(K51,Teams!$A:$A,0)))</f>
        <v>Royal Challengers Bangalore</v>
      </c>
      <c r="T51" t="str">
        <f>INDEX(Venues!$B:$B,MATCH(O51,Venues!$A:$A,0))</f>
        <v>Rajiv Gandhi International Stadium</v>
      </c>
      <c r="U51" t="str">
        <f>INDEX(Venues!$C:$C,MATCH(O51,Venues!$A:$A,0))</f>
        <v>Hyderabad</v>
      </c>
      <c r="V51" t="str">
        <f>IF(L51&gt;0,L51&amp;" runs",IF(M51&gt;0,M51&amp;" wickets","-"))</f>
        <v>5 wickets</v>
      </c>
      <c r="W51">
        <f>IF(G51=K51,1,0)</f>
        <v>0</v>
      </c>
      <c r="X51">
        <f>IF(L51&gt;0,L51,"")</f>
        <v/>
      </c>
      <c r="Y51">
        <f>IF(X51="","",IF(X51&gt;Stats!$B$15,"Outlier",""))</f>
        <v/>
      </c>
      <c r="Z51" t="str">
        <f>P51&amp;" vs "&amp;Q51</f>
        <v>Deccan Chargers vs Royal Challengers Bangalore</v>
      </c>
    </row>
    <row r="52" spans="1:26" x14ac:dyDescent="0.25">
      <c r="A52">
        <v>112</v>
      </c>
      <c r="B52">
        <v>2008</v>
      </c>
      <c r="C52" s="5">
        <v>39593</v>
      </c>
      <c r="D52" t="s">
        <v>172</v>
      </c>
      <c r="E52" t="s">
        <v>26</v>
      </c>
      <c r="F52" t="s">
        <v>32</v>
      </c>
      <c r="G52" t="s">
        <v>26</v>
      </c>
      <c r="H52" t="s">
        <v>176</v>
      </c>
      <c r="I52" t="s">
        <v>174</v>
      </c>
      <c r="J52">
        <v>0</v>
      </c>
      <c r="K52" t="s">
        <v>32</v>
      </c>
      <c r="L52">
        <v>0</v>
      </c>
      <c r="M52">
        <v>3</v>
      </c>
      <c r="N52" t="s">
        <v>213</v>
      </c>
      <c r="O52" t="s">
        <v>73</v>
      </c>
      <c r="P52" t="str">
        <f>INDEX(Teams!$B:$B,MATCH(E52,Teams!$A:$A,0))</f>
        <v>Kings XI Punjab</v>
      </c>
      <c r="Q52" t="str">
        <f>INDEX(Teams!$B:$B,MATCH(F52,Teams!$A:$A,0))</f>
        <v>Kolkata Knight Riders</v>
      </c>
      <c r="R52" t="str">
        <f>INDEX(Teams!$B:$B,MATCH(G52,Teams!$A:$A,0))</f>
        <v>Kings XI Punjab</v>
      </c>
      <c r="S52" t="str">
        <f>IF(K52="","No result",INDEX(Teams!$B:$B,MATCH(K52,Teams!$A:$A,0)))</f>
        <v>Kolkata Knight Riders</v>
      </c>
      <c r="T52" t="str">
        <f>INDEX(Venues!$B:$B,MATCH(O52,Venues!$A:$A,0))</f>
        <v>Eden Gardens</v>
      </c>
      <c r="U52" t="str">
        <f>INDEX(Venues!$C:$C,MATCH(O52,Venues!$A:$A,0))</f>
        <v>Kolkata</v>
      </c>
      <c r="V52" t="str">
        <f>IF(L52&gt;0,L52&amp;" runs",IF(M52&gt;0,M52&amp;" wickets","-"))</f>
        <v>3 wickets</v>
      </c>
      <c r="W52">
        <f>IF(G52=K52,1,0)</f>
        <v>0</v>
      </c>
      <c r="X52">
        <f>IF(L52&gt;0,L52,"")</f>
        <v/>
      </c>
      <c r="Y52">
        <f>IF(X52="","",IF(X52&gt;Stats!$B$15,"Outlier",""))</f>
        <v/>
      </c>
      <c r="Z52" t="str">
        <f>P52&amp;" vs "&amp;Q52</f>
        <v>Kings XI Punjab vs Kolkata Knight Riders</v>
      </c>
    </row>
    <row r="53" spans="1:26" x14ac:dyDescent="0.25">
      <c r="A53">
        <v>113</v>
      </c>
      <c r="B53">
        <v>2008</v>
      </c>
      <c r="C53" s="5">
        <v>39594</v>
      </c>
      <c r="D53" t="s">
        <v>172</v>
      </c>
      <c r="E53" t="s">
        <v>35</v>
      </c>
      <c r="F53" t="s">
        <v>41</v>
      </c>
      <c r="G53" t="s">
        <v>41</v>
      </c>
      <c r="H53" t="s">
        <v>173</v>
      </c>
      <c r="I53" t="s">
        <v>174</v>
      </c>
      <c r="J53">
        <v>0</v>
      </c>
      <c r="K53" t="s">
        <v>41</v>
      </c>
      <c r="L53">
        <v>0</v>
      </c>
      <c r="M53">
        <v>5</v>
      </c>
      <c r="N53" t="s">
        <v>197</v>
      </c>
      <c r="O53" t="s">
        <v>118</v>
      </c>
      <c r="P53" t="str">
        <f>INDEX(Teams!$B:$B,MATCH(E53,Teams!$A:$A,0))</f>
        <v>Mumbai Indians</v>
      </c>
      <c r="Q53" t="str">
        <f>INDEX(Teams!$B:$B,MATCH(F53,Teams!$A:$A,0))</f>
        <v>Rajasthan Royals</v>
      </c>
      <c r="R53" t="str">
        <f>INDEX(Teams!$B:$B,MATCH(G53,Teams!$A:$A,0))</f>
        <v>Rajasthan Royals</v>
      </c>
      <c r="S53" t="str">
        <f>IF(K53="","No result",INDEX(Teams!$B:$B,MATCH(K53,Teams!$A:$A,0)))</f>
        <v>Rajasthan Royals</v>
      </c>
      <c r="T53" t="str">
        <f>INDEX(Venues!$B:$B,MATCH(O53,Venues!$A:$A,0))</f>
        <v>Sawai Mansingh Stadium</v>
      </c>
      <c r="U53" t="str">
        <f>INDEX(Venues!$C:$C,MATCH(O53,Venues!$A:$A,0))</f>
        <v>Jaipur</v>
      </c>
      <c r="V53" t="str">
        <f>IF(L53&gt;0,L53&amp;" runs",IF(M53&gt;0,M53&amp;" wickets","-"))</f>
        <v>5 wickets</v>
      </c>
      <c r="W53">
        <f>IF(G53=K53,1,0)</f>
        <v>1</v>
      </c>
      <c r="X53">
        <f>IF(L53&gt;0,L53,"")</f>
        <v/>
      </c>
      <c r="Y53">
        <f>IF(X53="","",IF(X53&gt;Stats!$B$15,"Outlier",""))</f>
        <v/>
      </c>
      <c r="Z53" t="str">
        <f>P53&amp;" vs "&amp;Q53</f>
        <v>Mumbai Indians vs Rajasthan Royals</v>
      </c>
    </row>
    <row r="54" spans="1:26" x14ac:dyDescent="0.25">
      <c r="A54">
        <v>114</v>
      </c>
      <c r="B54">
        <v>2008</v>
      </c>
      <c r="C54" s="5">
        <v>39595</v>
      </c>
      <c r="D54" t="s">
        <v>172</v>
      </c>
      <c r="E54" t="s">
        <v>16</v>
      </c>
      <c r="F54" t="s">
        <v>12</v>
      </c>
      <c r="G54" t="s">
        <v>16</v>
      </c>
      <c r="H54" t="s">
        <v>176</v>
      </c>
      <c r="I54" t="s">
        <v>174</v>
      </c>
      <c r="J54">
        <v>0</v>
      </c>
      <c r="K54" t="s">
        <v>12</v>
      </c>
      <c r="L54">
        <v>0</v>
      </c>
      <c r="M54">
        <v>7</v>
      </c>
      <c r="N54" t="s">
        <v>214</v>
      </c>
      <c r="O54" t="s">
        <v>111</v>
      </c>
      <c r="P54" t="str">
        <f>INDEX(Teams!$B:$B,MATCH(E54,Teams!$A:$A,0))</f>
        <v>Deccan Chargers</v>
      </c>
      <c r="Q54" t="str">
        <f>INDEX(Teams!$B:$B,MATCH(F54,Teams!$A:$A,0))</f>
        <v>Chennai Super Kings</v>
      </c>
      <c r="R54" t="str">
        <f>INDEX(Teams!$B:$B,MATCH(G54,Teams!$A:$A,0))</f>
        <v>Deccan Chargers</v>
      </c>
      <c r="S54" t="str">
        <f>IF(K54="","No result",INDEX(Teams!$B:$B,MATCH(K54,Teams!$A:$A,0)))</f>
        <v>Chennai Super Kings</v>
      </c>
      <c r="T54" t="str">
        <f>INDEX(Venues!$B:$B,MATCH(O54,Venues!$A:$A,0))</f>
        <v>Rajiv Gandhi International Stadium</v>
      </c>
      <c r="U54" t="str">
        <f>INDEX(Venues!$C:$C,MATCH(O54,Venues!$A:$A,0))</f>
        <v>Hyderabad</v>
      </c>
      <c r="V54" t="str">
        <f>IF(L54&gt;0,L54&amp;" runs",IF(M54&gt;0,M54&amp;" wickets","-"))</f>
        <v>7 wickets</v>
      </c>
      <c r="W54">
        <f>IF(G54=K54,1,0)</f>
        <v>0</v>
      </c>
      <c r="X54">
        <f>IF(L54&gt;0,L54,"")</f>
        <v/>
      </c>
      <c r="Y54">
        <f>IF(X54="","",IF(X54&gt;Stats!$B$15,"Outlier",""))</f>
        <v/>
      </c>
      <c r="Z54" t="str">
        <f>P54&amp;" vs "&amp;Q54</f>
        <v>Deccan Chargers vs Chennai Super Kings</v>
      </c>
    </row>
    <row r="55" spans="1:26" x14ac:dyDescent="0.25">
      <c r="A55">
        <v>90</v>
      </c>
      <c r="B55">
        <v>2008</v>
      </c>
      <c r="C55" s="5">
        <v>39596</v>
      </c>
      <c r="D55" t="s">
        <v>172</v>
      </c>
      <c r="E55" t="s">
        <v>46</v>
      </c>
      <c r="F55" t="s">
        <v>35</v>
      </c>
      <c r="G55" t="s">
        <v>35</v>
      </c>
      <c r="H55" t="s">
        <v>173</v>
      </c>
      <c r="I55" t="s">
        <v>174</v>
      </c>
      <c r="J55">
        <v>0</v>
      </c>
      <c r="K55" t="s">
        <v>35</v>
      </c>
      <c r="L55">
        <v>0</v>
      </c>
      <c r="M55">
        <v>9</v>
      </c>
      <c r="N55" t="s">
        <v>215</v>
      </c>
      <c r="O55" t="s">
        <v>92</v>
      </c>
      <c r="P55" t="str">
        <f>INDEX(Teams!$B:$B,MATCH(E55,Teams!$A:$A,0))</f>
        <v>Royal Challengers Bangalore</v>
      </c>
      <c r="Q55" t="str">
        <f>INDEX(Teams!$B:$B,MATCH(F55,Teams!$A:$A,0))</f>
        <v>Mumbai Indians</v>
      </c>
      <c r="R55" t="str">
        <f>INDEX(Teams!$B:$B,MATCH(G55,Teams!$A:$A,0))</f>
        <v>Mumbai Indians</v>
      </c>
      <c r="S55" t="str">
        <f>IF(K55="","No result",INDEX(Teams!$B:$B,MATCH(K55,Teams!$A:$A,0)))</f>
        <v>Mumbai Indians</v>
      </c>
      <c r="T55" t="str">
        <f>INDEX(Venues!$B:$B,MATCH(O55,Venues!$A:$A,0))</f>
        <v>M Chinnaswamy Stadium</v>
      </c>
      <c r="U55" t="str">
        <f>INDEX(Venues!$C:$C,MATCH(O55,Venues!$A:$A,0))</f>
        <v>Bangalore</v>
      </c>
      <c r="V55" t="str">
        <f>IF(L55&gt;0,L55&amp;" runs",IF(M55&gt;0,M55&amp;" wickets","-"))</f>
        <v>9 wickets</v>
      </c>
      <c r="W55">
        <f>IF(G55=K55,1,0)</f>
        <v>1</v>
      </c>
      <c r="X55">
        <f>IF(L55&gt;0,L55,"")</f>
        <v/>
      </c>
      <c r="Y55">
        <f>IF(X55="","",IF(X55&gt;Stats!$B$15,"Outlier",""))</f>
        <v/>
      </c>
      <c r="Z55" t="str">
        <f>P55&amp;" vs "&amp;Q55</f>
        <v>Royal Challengers Bangalore vs Mumbai Indians</v>
      </c>
    </row>
    <row r="56" spans="1:26" x14ac:dyDescent="0.25">
      <c r="A56">
        <v>97</v>
      </c>
      <c r="B56">
        <v>2008</v>
      </c>
      <c r="C56" s="5">
        <v>39596</v>
      </c>
      <c r="D56" t="s">
        <v>172</v>
      </c>
      <c r="E56" t="s">
        <v>26</v>
      </c>
      <c r="F56" t="s">
        <v>41</v>
      </c>
      <c r="G56" t="s">
        <v>41</v>
      </c>
      <c r="H56" t="s">
        <v>173</v>
      </c>
      <c r="I56" t="s">
        <v>174</v>
      </c>
      <c r="J56">
        <v>0</v>
      </c>
      <c r="K56" t="s">
        <v>26</v>
      </c>
      <c r="L56">
        <v>41</v>
      </c>
      <c r="M56">
        <v>0</v>
      </c>
      <c r="N56" t="s">
        <v>192</v>
      </c>
      <c r="O56" t="s">
        <v>109</v>
      </c>
      <c r="P56" t="str">
        <f>INDEX(Teams!$B:$B,MATCH(E56,Teams!$A:$A,0))</f>
        <v>Kings XI Punjab</v>
      </c>
      <c r="Q56" t="str">
        <f>INDEX(Teams!$B:$B,MATCH(F56,Teams!$A:$A,0))</f>
        <v>Rajasthan Royals</v>
      </c>
      <c r="R56" t="str">
        <f>INDEX(Teams!$B:$B,MATCH(G56,Teams!$A:$A,0))</f>
        <v>Rajasthan Royals</v>
      </c>
      <c r="S56" t="str">
        <f>IF(K56="","No result",INDEX(Teams!$B:$B,MATCH(K56,Teams!$A:$A,0)))</f>
        <v>Kings XI Punjab</v>
      </c>
      <c r="T56" t="str">
        <f>INDEX(Venues!$B:$B,MATCH(O56,Venues!$A:$A,0))</f>
        <v>Punjab Cricket Association IS Bindra Stadium</v>
      </c>
      <c r="U56" t="str">
        <f>INDEX(Venues!$C:$C,MATCH(O56,Venues!$A:$A,0))</f>
        <v>Chandigarh</v>
      </c>
      <c r="V56" t="str">
        <f>IF(L56&gt;0,L56&amp;" runs",IF(M56&gt;0,M56&amp;" wickets","-"))</f>
        <v>41 runs</v>
      </c>
      <c r="W56">
        <f>IF(G56=K56,1,0)</f>
        <v>0</v>
      </c>
      <c r="X56">
        <f>IF(L56&gt;0,L56,"")</f>
        <v>41</v>
      </c>
      <c r="Y56">
        <f>IF(X56="","",IF(X56&gt;Stats!$B$15,"Outlier",""))</f>
        <v/>
      </c>
      <c r="Z56" t="str">
        <f>P56&amp;" vs "&amp;Q56</f>
        <v>Kings XI Punjab vs Rajasthan Royals</v>
      </c>
    </row>
    <row r="57" spans="1:26" x14ac:dyDescent="0.25">
      <c r="A57">
        <v>115</v>
      </c>
      <c r="B57">
        <v>2008</v>
      </c>
      <c r="C57" s="5">
        <v>39598</v>
      </c>
      <c r="D57" t="s">
        <v>172</v>
      </c>
      <c r="E57" t="s">
        <v>41</v>
      </c>
      <c r="F57" t="s">
        <v>20</v>
      </c>
      <c r="G57" t="s">
        <v>20</v>
      </c>
      <c r="H57" t="s">
        <v>173</v>
      </c>
      <c r="I57" t="s">
        <v>174</v>
      </c>
      <c r="J57">
        <v>0</v>
      </c>
      <c r="K57" t="s">
        <v>41</v>
      </c>
      <c r="L57">
        <v>105</v>
      </c>
      <c r="M57">
        <v>0</v>
      </c>
      <c r="N57" t="s">
        <v>181</v>
      </c>
      <c r="O57" t="s">
        <v>138</v>
      </c>
      <c r="P57" t="str">
        <f>INDEX(Teams!$B:$B,MATCH(E57,Teams!$A:$A,0))</f>
        <v>Rajasthan Royals</v>
      </c>
      <c r="Q57" t="str">
        <f>INDEX(Teams!$B:$B,MATCH(F57,Teams!$A:$A,0))</f>
        <v>Delhi Capitals</v>
      </c>
      <c r="R57" t="str">
        <f>INDEX(Teams!$B:$B,MATCH(G57,Teams!$A:$A,0))</f>
        <v>Delhi Capitals</v>
      </c>
      <c r="S57" t="str">
        <f>IF(K57="","No result",INDEX(Teams!$B:$B,MATCH(K57,Teams!$A:$A,0)))</f>
        <v>Rajasthan Royals</v>
      </c>
      <c r="T57" t="str">
        <f>INDEX(Venues!$B:$B,MATCH(O57,Venues!$A:$A,0))</f>
        <v>Wankhede Stadium</v>
      </c>
      <c r="U57" t="str">
        <f>INDEX(Venues!$C:$C,MATCH(O57,Venues!$A:$A,0))</f>
        <v>Mumbai</v>
      </c>
      <c r="V57" t="str">
        <f>IF(L57&gt;0,L57&amp;" runs",IF(M57&gt;0,M57&amp;" wickets","-"))</f>
        <v>105 runs</v>
      </c>
      <c r="W57">
        <f>IF(G57=K57,1,0)</f>
        <v>0</v>
      </c>
      <c r="X57">
        <f>IF(L57&gt;0,L57,"")</f>
        <v>105</v>
      </c>
      <c r="Y57" t="str">
        <f>IF(X57="","",IF(X57&gt;Stats!$B$15,"Outlier",""))</f>
        <v>Outlier</v>
      </c>
      <c r="Z57" t="str">
        <f>P57&amp;" vs "&amp;Q57</f>
        <v>Rajasthan Royals vs Delhi Capitals</v>
      </c>
    </row>
    <row r="58" spans="1:26" x14ac:dyDescent="0.25">
      <c r="A58">
        <v>116</v>
      </c>
      <c r="B58">
        <v>2008</v>
      </c>
      <c r="C58" s="5">
        <v>39599</v>
      </c>
      <c r="D58" t="s">
        <v>172</v>
      </c>
      <c r="E58" t="s">
        <v>26</v>
      </c>
      <c r="F58" t="s">
        <v>12</v>
      </c>
      <c r="G58" t="s">
        <v>26</v>
      </c>
      <c r="H58" t="s">
        <v>176</v>
      </c>
      <c r="I58" t="s">
        <v>174</v>
      </c>
      <c r="J58">
        <v>0</v>
      </c>
      <c r="K58" t="s">
        <v>12</v>
      </c>
      <c r="L58">
        <v>0</v>
      </c>
      <c r="M58">
        <v>9</v>
      </c>
      <c r="N58" t="s">
        <v>207</v>
      </c>
      <c r="O58" t="s">
        <v>138</v>
      </c>
      <c r="P58" t="str">
        <f>INDEX(Teams!$B:$B,MATCH(E58,Teams!$A:$A,0))</f>
        <v>Kings XI Punjab</v>
      </c>
      <c r="Q58" t="str">
        <f>INDEX(Teams!$B:$B,MATCH(F58,Teams!$A:$A,0))</f>
        <v>Chennai Super Kings</v>
      </c>
      <c r="R58" t="str">
        <f>INDEX(Teams!$B:$B,MATCH(G58,Teams!$A:$A,0))</f>
        <v>Kings XI Punjab</v>
      </c>
      <c r="S58" t="str">
        <f>IF(K58="","No result",INDEX(Teams!$B:$B,MATCH(K58,Teams!$A:$A,0)))</f>
        <v>Chennai Super Kings</v>
      </c>
      <c r="T58" t="str">
        <f>INDEX(Venues!$B:$B,MATCH(O58,Venues!$A:$A,0))</f>
        <v>Wankhede Stadium</v>
      </c>
      <c r="U58" t="str">
        <f>INDEX(Venues!$C:$C,MATCH(O58,Venues!$A:$A,0))</f>
        <v>Mumbai</v>
      </c>
      <c r="V58" t="str">
        <f>IF(L58&gt;0,L58&amp;" runs",IF(M58&gt;0,M58&amp;" wickets","-"))</f>
        <v>9 wickets</v>
      </c>
      <c r="W58">
        <f>IF(G58=K58,1,0)</f>
        <v>0</v>
      </c>
      <c r="X58">
        <f>IF(L58&gt;0,L58,"")</f>
        <v/>
      </c>
      <c r="Y58">
        <f>IF(X58="","",IF(X58&gt;Stats!$B$15,"Outlier",""))</f>
        <v/>
      </c>
      <c r="Z58" t="str">
        <f>P58&amp;" vs "&amp;Q58</f>
        <v>Kings XI Punjab vs Chennai Super Kings</v>
      </c>
    </row>
    <row r="59" spans="1:26" x14ac:dyDescent="0.25">
      <c r="A59">
        <v>117</v>
      </c>
      <c r="B59">
        <v>2008</v>
      </c>
      <c r="C59" s="5">
        <v>39600</v>
      </c>
      <c r="D59" t="s">
        <v>216</v>
      </c>
      <c r="E59" t="s">
        <v>12</v>
      </c>
      <c r="F59" t="s">
        <v>41</v>
      </c>
      <c r="G59" t="s">
        <v>41</v>
      </c>
      <c r="H59" t="s">
        <v>173</v>
      </c>
      <c r="I59" t="s">
        <v>174</v>
      </c>
      <c r="J59">
        <v>0</v>
      </c>
      <c r="K59" t="s">
        <v>41</v>
      </c>
      <c r="L59">
        <v>0</v>
      </c>
      <c r="M59">
        <v>3</v>
      </c>
      <c r="N59" t="s">
        <v>184</v>
      </c>
      <c r="O59" t="s">
        <v>65</v>
      </c>
      <c r="P59" t="str">
        <f>INDEX(Teams!$B:$B,MATCH(E59,Teams!$A:$A,0))</f>
        <v>Chennai Super Kings</v>
      </c>
      <c r="Q59" t="str">
        <f>INDEX(Teams!$B:$B,MATCH(F59,Teams!$A:$A,0))</f>
        <v>Rajasthan Royals</v>
      </c>
      <c r="R59" t="str">
        <f>INDEX(Teams!$B:$B,MATCH(G59,Teams!$A:$A,0))</f>
        <v>Rajasthan Royals</v>
      </c>
      <c r="S59" t="str">
        <f>IF(K59="","No result",INDEX(Teams!$B:$B,MATCH(K59,Teams!$A:$A,0)))</f>
        <v>Rajasthan Royals</v>
      </c>
      <c r="T59" t="str">
        <f>INDEX(Venues!$B:$B,MATCH(O59,Venues!$A:$A,0))</f>
        <v>Dr DY Patil Sports Academy</v>
      </c>
      <c r="U59" t="str">
        <f>INDEX(Venues!$C:$C,MATCH(O59,Venues!$A:$A,0))</f>
        <v>Mumbai</v>
      </c>
      <c r="V59" t="str">
        <f>IF(L59&gt;0,L59&amp;" runs",IF(M59&gt;0,M59&amp;" wickets","-"))</f>
        <v>3 wickets</v>
      </c>
      <c r="W59">
        <f>IF(G59=K59,1,0)</f>
        <v>1</v>
      </c>
      <c r="X59">
        <f>IF(L59&gt;0,L59,"")</f>
        <v/>
      </c>
      <c r="Y59">
        <f>IF(X59="","",IF(X59&gt;Stats!$B$15,"Outlier",""))</f>
        <v/>
      </c>
      <c r="Z59" t="str">
        <f>P59&amp;" vs "&amp;Q59</f>
        <v>Chennai Super Kings vs Rajasthan Royals</v>
      </c>
    </row>
    <row r="60" spans="1:26" x14ac:dyDescent="0.25">
      <c r="A60">
        <v>118</v>
      </c>
      <c r="B60">
        <v>2009</v>
      </c>
      <c r="C60" s="5">
        <v>39921</v>
      </c>
      <c r="D60" t="s">
        <v>172</v>
      </c>
      <c r="E60" t="s">
        <v>35</v>
      </c>
      <c r="F60" t="s">
        <v>12</v>
      </c>
      <c r="G60" t="s">
        <v>12</v>
      </c>
      <c r="H60" t="s">
        <v>173</v>
      </c>
      <c r="I60" t="s">
        <v>174</v>
      </c>
      <c r="J60">
        <v>0</v>
      </c>
      <c r="K60" t="s">
        <v>35</v>
      </c>
      <c r="L60">
        <v>19</v>
      </c>
      <c r="M60">
        <v>0</v>
      </c>
      <c r="N60" t="s">
        <v>217</v>
      </c>
      <c r="O60" t="s">
        <v>103</v>
      </c>
      <c r="P60" t="str">
        <f>INDEX(Teams!$B:$B,MATCH(E60,Teams!$A:$A,0))</f>
        <v>Mumbai Indians</v>
      </c>
      <c r="Q60" t="str">
        <f>INDEX(Teams!$B:$B,MATCH(F60,Teams!$A:$A,0))</f>
        <v>Chennai Super Kings</v>
      </c>
      <c r="R60" t="str">
        <f>INDEX(Teams!$B:$B,MATCH(G60,Teams!$A:$A,0))</f>
        <v>Chennai Super Kings</v>
      </c>
      <c r="S60" t="str">
        <f>IF(K60="","No result",INDEX(Teams!$B:$B,MATCH(K60,Teams!$A:$A,0)))</f>
        <v>Mumbai Indians</v>
      </c>
      <c r="T60" t="str">
        <f>INDEX(Venues!$B:$B,MATCH(O60,Venues!$A:$A,0))</f>
        <v>Newlands</v>
      </c>
      <c r="U60" t="str">
        <f>INDEX(Venues!$C:$C,MATCH(O60,Venues!$A:$A,0))</f>
        <v>Cape Town</v>
      </c>
      <c r="V60" t="str">
        <f>IF(L60&gt;0,L60&amp;" runs",IF(M60&gt;0,M60&amp;" wickets","-"))</f>
        <v>19 runs</v>
      </c>
      <c r="W60">
        <f>IF(G60=K60,1,0)</f>
        <v>0</v>
      </c>
      <c r="X60">
        <f>IF(L60&gt;0,L60,"")</f>
        <v>19</v>
      </c>
      <c r="Y60">
        <f>IF(X60="","",IF(X60&gt;Stats!$B$15,"Outlier",""))</f>
        <v/>
      </c>
      <c r="Z60" t="str">
        <f>P60&amp;" vs "&amp;Q60</f>
        <v>Mumbai Indians vs Chennai Super Kings</v>
      </c>
    </row>
    <row r="61" spans="1:26" x14ac:dyDescent="0.25">
      <c r="A61">
        <v>119</v>
      </c>
      <c r="B61">
        <v>2009</v>
      </c>
      <c r="C61" s="5">
        <v>39921</v>
      </c>
      <c r="D61" t="s">
        <v>172</v>
      </c>
      <c r="E61" t="s">
        <v>46</v>
      </c>
      <c r="F61" t="s">
        <v>41</v>
      </c>
      <c r="G61" t="s">
        <v>46</v>
      </c>
      <c r="H61" t="s">
        <v>176</v>
      </c>
      <c r="I61" t="s">
        <v>174</v>
      </c>
      <c r="J61">
        <v>0</v>
      </c>
      <c r="K61" t="s">
        <v>46</v>
      </c>
      <c r="L61">
        <v>75</v>
      </c>
      <c r="M61">
        <v>0</v>
      </c>
      <c r="N61" t="s">
        <v>218</v>
      </c>
      <c r="O61" t="s">
        <v>103</v>
      </c>
      <c r="P61" t="str">
        <f>INDEX(Teams!$B:$B,MATCH(E61,Teams!$A:$A,0))</f>
        <v>Royal Challengers Bangalore</v>
      </c>
      <c r="Q61" t="str">
        <f>INDEX(Teams!$B:$B,MATCH(F61,Teams!$A:$A,0))</f>
        <v>Rajasthan Royals</v>
      </c>
      <c r="R61" t="str">
        <f>INDEX(Teams!$B:$B,MATCH(G61,Teams!$A:$A,0))</f>
        <v>Royal Challengers Bangalore</v>
      </c>
      <c r="S61" t="str">
        <f>IF(K61="","No result",INDEX(Teams!$B:$B,MATCH(K61,Teams!$A:$A,0)))</f>
        <v>Royal Challengers Bangalore</v>
      </c>
      <c r="T61" t="str">
        <f>INDEX(Venues!$B:$B,MATCH(O61,Venues!$A:$A,0))</f>
        <v>Newlands</v>
      </c>
      <c r="U61" t="str">
        <f>INDEX(Venues!$C:$C,MATCH(O61,Venues!$A:$A,0))</f>
        <v>Cape Town</v>
      </c>
      <c r="V61" t="str">
        <f>IF(L61&gt;0,L61&amp;" runs",IF(M61&gt;0,M61&amp;" wickets","-"))</f>
        <v>75 runs</v>
      </c>
      <c r="W61">
        <f>IF(G61=K61,1,0)</f>
        <v>1</v>
      </c>
      <c r="X61">
        <f>IF(L61&gt;0,L61,"")</f>
        <v>75</v>
      </c>
      <c r="Y61">
        <f>IF(X61="","",IF(X61&gt;Stats!$B$15,"Outlier",""))</f>
        <v/>
      </c>
      <c r="Z61" t="str">
        <f>P61&amp;" vs "&amp;Q61</f>
        <v>Royal Challengers Bangalore vs Rajasthan Royals</v>
      </c>
    </row>
    <row r="62" spans="1:26" x14ac:dyDescent="0.25">
      <c r="A62">
        <v>120</v>
      </c>
      <c r="B62">
        <v>2009</v>
      </c>
      <c r="C62" s="5">
        <v>39922</v>
      </c>
      <c r="D62" t="s">
        <v>172</v>
      </c>
      <c r="E62" t="s">
        <v>26</v>
      </c>
      <c r="F62" t="s">
        <v>20</v>
      </c>
      <c r="G62" t="s">
        <v>20</v>
      </c>
      <c r="H62" t="s">
        <v>173</v>
      </c>
      <c r="I62" t="s">
        <v>174</v>
      </c>
      <c r="J62">
        <v>1</v>
      </c>
      <c r="K62" t="s">
        <v>20</v>
      </c>
      <c r="L62">
        <v>0</v>
      </c>
      <c r="M62">
        <v>10</v>
      </c>
      <c r="N62" t="s">
        <v>219</v>
      </c>
      <c r="O62" t="s">
        <v>103</v>
      </c>
      <c r="P62" t="str">
        <f>INDEX(Teams!$B:$B,MATCH(E62,Teams!$A:$A,0))</f>
        <v>Kings XI Punjab</v>
      </c>
      <c r="Q62" t="str">
        <f>INDEX(Teams!$B:$B,MATCH(F62,Teams!$A:$A,0))</f>
        <v>Delhi Capitals</v>
      </c>
      <c r="R62" t="str">
        <f>INDEX(Teams!$B:$B,MATCH(G62,Teams!$A:$A,0))</f>
        <v>Delhi Capitals</v>
      </c>
      <c r="S62" t="str">
        <f>IF(K62="","No result",INDEX(Teams!$B:$B,MATCH(K62,Teams!$A:$A,0)))</f>
        <v>Delhi Capitals</v>
      </c>
      <c r="T62" t="str">
        <f>INDEX(Venues!$B:$B,MATCH(O62,Venues!$A:$A,0))</f>
        <v>Newlands</v>
      </c>
      <c r="U62" t="str">
        <f>INDEX(Venues!$C:$C,MATCH(O62,Venues!$A:$A,0))</f>
        <v>Cape Town</v>
      </c>
      <c r="V62" t="str">
        <f>IF(L62&gt;0,L62&amp;" runs",IF(M62&gt;0,M62&amp;" wickets","-"))</f>
        <v>10 wickets</v>
      </c>
      <c r="W62">
        <f>IF(G62=K62,1,0)</f>
        <v>1</v>
      </c>
      <c r="X62">
        <f>IF(L62&gt;0,L62,"")</f>
        <v/>
      </c>
      <c r="Y62">
        <f>IF(X62="","",IF(X62&gt;Stats!$B$15,"Outlier",""))</f>
        <v/>
      </c>
      <c r="Z62" t="str">
        <f>P62&amp;" vs "&amp;Q62</f>
        <v>Kings XI Punjab vs Delhi Capitals</v>
      </c>
    </row>
    <row r="63" spans="1:26" x14ac:dyDescent="0.25">
      <c r="A63">
        <v>121</v>
      </c>
      <c r="B63">
        <v>2009</v>
      </c>
      <c r="C63" s="5">
        <v>39922</v>
      </c>
      <c r="D63" t="s">
        <v>172</v>
      </c>
      <c r="E63" t="s">
        <v>32</v>
      </c>
      <c r="F63" t="s">
        <v>16</v>
      </c>
      <c r="G63" t="s">
        <v>32</v>
      </c>
      <c r="H63" t="s">
        <v>176</v>
      </c>
      <c r="I63" t="s">
        <v>174</v>
      </c>
      <c r="J63">
        <v>0</v>
      </c>
      <c r="K63" t="s">
        <v>16</v>
      </c>
      <c r="L63">
        <v>0</v>
      </c>
      <c r="M63">
        <v>8</v>
      </c>
      <c r="N63" t="s">
        <v>220</v>
      </c>
      <c r="O63" t="s">
        <v>103</v>
      </c>
      <c r="P63" t="str">
        <f>INDEX(Teams!$B:$B,MATCH(E63,Teams!$A:$A,0))</f>
        <v>Kolkata Knight Riders</v>
      </c>
      <c r="Q63" t="str">
        <f>INDEX(Teams!$B:$B,MATCH(F63,Teams!$A:$A,0))</f>
        <v>Deccan Chargers</v>
      </c>
      <c r="R63" t="str">
        <f>INDEX(Teams!$B:$B,MATCH(G63,Teams!$A:$A,0))</f>
        <v>Kolkata Knight Riders</v>
      </c>
      <c r="S63" t="str">
        <f>IF(K63="","No result",INDEX(Teams!$B:$B,MATCH(K63,Teams!$A:$A,0)))</f>
        <v>Deccan Chargers</v>
      </c>
      <c r="T63" t="str">
        <f>INDEX(Venues!$B:$B,MATCH(O63,Venues!$A:$A,0))</f>
        <v>Newlands</v>
      </c>
      <c r="U63" t="str">
        <f>INDEX(Venues!$C:$C,MATCH(O63,Venues!$A:$A,0))</f>
        <v>Cape Town</v>
      </c>
      <c r="V63" t="str">
        <f>IF(L63&gt;0,L63&amp;" runs",IF(M63&gt;0,M63&amp;" wickets","-"))</f>
        <v>8 wickets</v>
      </c>
      <c r="W63">
        <f>IF(G63=K63,1,0)</f>
        <v>0</v>
      </c>
      <c r="X63">
        <f>IF(L63&gt;0,L63,"")</f>
        <v/>
      </c>
      <c r="Y63">
        <f>IF(X63="","",IF(X63&gt;Stats!$B$15,"Outlier",""))</f>
        <v/>
      </c>
      <c r="Z63" t="str">
        <f>P63&amp;" vs "&amp;Q63</f>
        <v>Kolkata Knight Riders vs Deccan Chargers</v>
      </c>
    </row>
    <row r="64" spans="1:26" x14ac:dyDescent="0.25">
      <c r="A64">
        <v>122</v>
      </c>
      <c r="B64">
        <v>2009</v>
      </c>
      <c r="C64" s="5">
        <v>39923</v>
      </c>
      <c r="D64" t="s">
        <v>172</v>
      </c>
      <c r="E64" t="s">
        <v>12</v>
      </c>
      <c r="F64" t="s">
        <v>46</v>
      </c>
      <c r="G64" t="s">
        <v>12</v>
      </c>
      <c r="H64" t="s">
        <v>176</v>
      </c>
      <c r="I64" t="s">
        <v>174</v>
      </c>
      <c r="J64">
        <v>0</v>
      </c>
      <c r="K64" t="s">
        <v>12</v>
      </c>
      <c r="L64">
        <v>92</v>
      </c>
      <c r="M64">
        <v>0</v>
      </c>
      <c r="N64" t="s">
        <v>221</v>
      </c>
      <c r="O64" t="s">
        <v>129</v>
      </c>
      <c r="P64" t="str">
        <f>INDEX(Teams!$B:$B,MATCH(E64,Teams!$A:$A,0))</f>
        <v>Chennai Super Kings</v>
      </c>
      <c r="Q64" t="str">
        <f>INDEX(Teams!$B:$B,MATCH(F64,Teams!$A:$A,0))</f>
        <v>Royal Challengers Bangalore</v>
      </c>
      <c r="R64" t="str">
        <f>INDEX(Teams!$B:$B,MATCH(G64,Teams!$A:$A,0))</f>
        <v>Chennai Super Kings</v>
      </c>
      <c r="S64" t="str">
        <f>IF(K64="","No result",INDEX(Teams!$B:$B,MATCH(K64,Teams!$A:$A,0)))</f>
        <v>Chennai Super Kings</v>
      </c>
      <c r="T64" t="str">
        <f>INDEX(Venues!$B:$B,MATCH(O64,Venues!$A:$A,0))</f>
        <v>St George's Park</v>
      </c>
      <c r="U64" t="str">
        <f>INDEX(Venues!$C:$C,MATCH(O64,Venues!$A:$A,0))</f>
        <v>Port Elizabeth</v>
      </c>
      <c r="V64" t="str">
        <f>IF(L64&gt;0,L64&amp;" runs",IF(M64&gt;0,M64&amp;" wickets","-"))</f>
        <v>92 runs</v>
      </c>
      <c r="W64">
        <f>IF(G64=K64,1,0)</f>
        <v>1</v>
      </c>
      <c r="X64">
        <f>IF(L64&gt;0,L64,"")</f>
        <v>92</v>
      </c>
      <c r="Y64" t="str">
        <f>IF(X64="","",IF(X64&gt;Stats!$B$15,"Outlier",""))</f>
        <v>Outlier</v>
      </c>
      <c r="Z64" t="str">
        <f>P64&amp;" vs "&amp;Q64</f>
        <v>Chennai Super Kings vs Royal Challengers Bangalore</v>
      </c>
    </row>
    <row r="65" spans="1:26" x14ac:dyDescent="0.25">
      <c r="A65">
        <v>123</v>
      </c>
      <c r="B65">
        <v>2009</v>
      </c>
      <c r="C65" s="5">
        <v>39924</v>
      </c>
      <c r="D65" t="s">
        <v>172</v>
      </c>
      <c r="E65" t="s">
        <v>26</v>
      </c>
      <c r="F65" t="s">
        <v>32</v>
      </c>
      <c r="G65" t="s">
        <v>32</v>
      </c>
      <c r="H65" t="s">
        <v>173</v>
      </c>
      <c r="I65" t="s">
        <v>174</v>
      </c>
      <c r="J65">
        <v>1</v>
      </c>
      <c r="K65" t="s">
        <v>32</v>
      </c>
      <c r="L65">
        <v>11</v>
      </c>
      <c r="M65">
        <v>0</v>
      </c>
      <c r="N65" t="s">
        <v>222</v>
      </c>
      <c r="O65" t="s">
        <v>89</v>
      </c>
      <c r="P65" t="str">
        <f>INDEX(Teams!$B:$B,MATCH(E65,Teams!$A:$A,0))</f>
        <v>Kings XI Punjab</v>
      </c>
      <c r="Q65" t="str">
        <f>INDEX(Teams!$B:$B,MATCH(F65,Teams!$A:$A,0))</f>
        <v>Kolkata Knight Riders</v>
      </c>
      <c r="R65" t="str">
        <f>INDEX(Teams!$B:$B,MATCH(G65,Teams!$A:$A,0))</f>
        <v>Kolkata Knight Riders</v>
      </c>
      <c r="S65" t="str">
        <f>IF(K65="","No result",INDEX(Teams!$B:$B,MATCH(K65,Teams!$A:$A,0)))</f>
        <v>Kolkata Knight Riders</v>
      </c>
      <c r="T65" t="str">
        <f>INDEX(Venues!$B:$B,MATCH(O65,Venues!$A:$A,0))</f>
        <v>Kingsmead</v>
      </c>
      <c r="U65" t="str">
        <f>INDEX(Venues!$C:$C,MATCH(O65,Venues!$A:$A,0))</f>
        <v>Durban</v>
      </c>
      <c r="V65" t="str">
        <f>IF(L65&gt;0,L65&amp;" runs",IF(M65&gt;0,M65&amp;" wickets","-"))</f>
        <v>11 runs</v>
      </c>
      <c r="W65">
        <f>IF(G65=K65,1,0)</f>
        <v>1</v>
      </c>
      <c r="X65">
        <f>IF(L65&gt;0,L65,"")</f>
        <v>11</v>
      </c>
      <c r="Y65">
        <f>IF(X65="","",IF(X65&gt;Stats!$B$15,"Outlier",""))</f>
        <v/>
      </c>
      <c r="Z65" t="str">
        <f>P65&amp;" vs "&amp;Q65</f>
        <v>Kings XI Punjab vs Kolkata Knight Riders</v>
      </c>
    </row>
    <row r="66" spans="1:26" x14ac:dyDescent="0.25">
      <c r="A66">
        <v>124</v>
      </c>
      <c r="B66">
        <v>2009</v>
      </c>
      <c r="C66" s="5">
        <v>39925</v>
      </c>
      <c r="D66" t="s">
        <v>172</v>
      </c>
      <c r="E66" t="s">
        <v>16</v>
      </c>
      <c r="F66" t="s">
        <v>46</v>
      </c>
      <c r="G66" t="s">
        <v>16</v>
      </c>
      <c r="H66" t="s">
        <v>176</v>
      </c>
      <c r="I66" t="s">
        <v>174</v>
      </c>
      <c r="J66">
        <v>0</v>
      </c>
      <c r="K66" t="s">
        <v>16</v>
      </c>
      <c r="L66">
        <v>24</v>
      </c>
      <c r="M66">
        <v>0</v>
      </c>
      <c r="N66" t="s">
        <v>187</v>
      </c>
      <c r="O66" t="s">
        <v>103</v>
      </c>
      <c r="P66" t="str">
        <f>INDEX(Teams!$B:$B,MATCH(E66,Teams!$A:$A,0))</f>
        <v>Deccan Chargers</v>
      </c>
      <c r="Q66" t="str">
        <f>INDEX(Teams!$B:$B,MATCH(F66,Teams!$A:$A,0))</f>
        <v>Royal Challengers Bangalore</v>
      </c>
      <c r="R66" t="str">
        <f>INDEX(Teams!$B:$B,MATCH(G66,Teams!$A:$A,0))</f>
        <v>Deccan Chargers</v>
      </c>
      <c r="S66" t="str">
        <f>IF(K66="","No result",INDEX(Teams!$B:$B,MATCH(K66,Teams!$A:$A,0)))</f>
        <v>Deccan Chargers</v>
      </c>
      <c r="T66" t="str">
        <f>INDEX(Venues!$B:$B,MATCH(O66,Venues!$A:$A,0))</f>
        <v>Newlands</v>
      </c>
      <c r="U66" t="str">
        <f>INDEX(Venues!$C:$C,MATCH(O66,Venues!$A:$A,0))</f>
        <v>Cape Town</v>
      </c>
      <c r="V66" t="str">
        <f>IF(L66&gt;0,L66&amp;" runs",IF(M66&gt;0,M66&amp;" wickets","-"))</f>
        <v>24 runs</v>
      </c>
      <c r="W66">
        <f>IF(G66=K66,1,0)</f>
        <v>1</v>
      </c>
      <c r="X66">
        <f>IF(L66&gt;0,L66,"")</f>
        <v>24</v>
      </c>
      <c r="Y66">
        <f>IF(X66="","",IF(X66&gt;Stats!$B$15,"Outlier",""))</f>
        <v/>
      </c>
      <c r="Z66" t="str">
        <f>P66&amp;" vs "&amp;Q66</f>
        <v>Deccan Chargers vs Royal Challengers Bangalore</v>
      </c>
    </row>
    <row r="67" spans="1:26" x14ac:dyDescent="0.25">
      <c r="A67">
        <v>125</v>
      </c>
      <c r="B67">
        <v>2009</v>
      </c>
      <c r="C67" s="5">
        <v>39926</v>
      </c>
      <c r="D67" t="s">
        <v>172</v>
      </c>
      <c r="E67" t="s">
        <v>20</v>
      </c>
      <c r="F67" t="s">
        <v>12</v>
      </c>
      <c r="G67" t="s">
        <v>20</v>
      </c>
      <c r="H67" t="s">
        <v>176</v>
      </c>
      <c r="I67" t="s">
        <v>174</v>
      </c>
      <c r="J67">
        <v>0</v>
      </c>
      <c r="K67" t="s">
        <v>20</v>
      </c>
      <c r="L67">
        <v>9</v>
      </c>
      <c r="M67">
        <v>0</v>
      </c>
      <c r="N67" t="s">
        <v>223</v>
      </c>
      <c r="O67" t="s">
        <v>89</v>
      </c>
      <c r="P67" t="str">
        <f>INDEX(Teams!$B:$B,MATCH(E67,Teams!$A:$A,0))</f>
        <v>Delhi Capitals</v>
      </c>
      <c r="Q67" t="str">
        <f>INDEX(Teams!$B:$B,MATCH(F67,Teams!$A:$A,0))</f>
        <v>Chennai Super Kings</v>
      </c>
      <c r="R67" t="str">
        <f>INDEX(Teams!$B:$B,MATCH(G67,Teams!$A:$A,0))</f>
        <v>Delhi Capitals</v>
      </c>
      <c r="S67" t="str">
        <f>IF(K67="","No result",INDEX(Teams!$B:$B,MATCH(K67,Teams!$A:$A,0)))</f>
        <v>Delhi Capitals</v>
      </c>
      <c r="T67" t="str">
        <f>INDEX(Venues!$B:$B,MATCH(O67,Venues!$A:$A,0))</f>
        <v>Kingsmead</v>
      </c>
      <c r="U67" t="str">
        <f>INDEX(Venues!$C:$C,MATCH(O67,Venues!$A:$A,0))</f>
        <v>Durban</v>
      </c>
      <c r="V67" t="str">
        <f>IF(L67&gt;0,L67&amp;" runs",IF(M67&gt;0,M67&amp;" wickets","-"))</f>
        <v>9 runs</v>
      </c>
      <c r="W67">
        <f>IF(G67=K67,1,0)</f>
        <v>1</v>
      </c>
      <c r="X67">
        <f>IF(L67&gt;0,L67,"")</f>
        <v>9</v>
      </c>
      <c r="Y67">
        <f>IF(X67="","",IF(X67&gt;Stats!$B$15,"Outlier",""))</f>
        <v/>
      </c>
      <c r="Z67" t="str">
        <f>P67&amp;" vs "&amp;Q67</f>
        <v>Delhi Capitals vs Chennai Super Kings</v>
      </c>
    </row>
    <row r="68" spans="1:26" x14ac:dyDescent="0.25">
      <c r="A68">
        <v>126</v>
      </c>
      <c r="B68">
        <v>2009</v>
      </c>
      <c r="C68" s="5">
        <v>39926</v>
      </c>
      <c r="D68" t="s">
        <v>172</v>
      </c>
      <c r="E68" t="s">
        <v>41</v>
      </c>
      <c r="F68" t="s">
        <v>32</v>
      </c>
      <c r="G68" t="s">
        <v>32</v>
      </c>
      <c r="H68" t="s">
        <v>173</v>
      </c>
      <c r="I68" t="s">
        <v>224</v>
      </c>
      <c r="J68">
        <v>0</v>
      </c>
      <c r="K68" t="s">
        <v>41</v>
      </c>
      <c r="L68">
        <v>0</v>
      </c>
      <c r="M68">
        <v>0</v>
      </c>
      <c r="N68" t="s">
        <v>184</v>
      </c>
      <c r="O68" t="s">
        <v>103</v>
      </c>
      <c r="P68" t="str">
        <f>INDEX(Teams!$B:$B,MATCH(E68,Teams!$A:$A,0))</f>
        <v>Rajasthan Royals</v>
      </c>
      <c r="Q68" t="str">
        <f>INDEX(Teams!$B:$B,MATCH(F68,Teams!$A:$A,0))</f>
        <v>Kolkata Knight Riders</v>
      </c>
      <c r="R68" t="str">
        <f>INDEX(Teams!$B:$B,MATCH(G68,Teams!$A:$A,0))</f>
        <v>Kolkata Knight Riders</v>
      </c>
      <c r="S68" t="str">
        <f>IF(K68="","No result",INDEX(Teams!$B:$B,MATCH(K68,Teams!$A:$A,0)))</f>
        <v>Rajasthan Royals</v>
      </c>
      <c r="T68" t="str">
        <f>INDEX(Venues!$B:$B,MATCH(O68,Venues!$A:$A,0))</f>
        <v>Newlands</v>
      </c>
      <c r="U68" t="str">
        <f>INDEX(Venues!$C:$C,MATCH(O68,Venues!$A:$A,0))</f>
        <v>Cape Town</v>
      </c>
      <c r="V68" t="str">
        <f>IF(L68&gt;0,L68&amp;" runs",IF(M68&gt;0,M68&amp;" wickets","-"))</f>
        <v>-</v>
      </c>
      <c r="W68">
        <f>IF(G68=K68,1,0)</f>
        <v>0</v>
      </c>
      <c r="X68">
        <f>IF(L68&gt;0,L68,"")</f>
        <v/>
      </c>
      <c r="Y68">
        <f>IF(X68="","",IF(X68&gt;Stats!$B$15,"Outlier",""))</f>
        <v/>
      </c>
      <c r="Z68" t="str">
        <f>P68&amp;" vs "&amp;Q68</f>
        <v>Rajasthan Royals vs Kolkata Knight Riders</v>
      </c>
    </row>
    <row r="69" spans="1:26" x14ac:dyDescent="0.25">
      <c r="A69">
        <v>127</v>
      </c>
      <c r="B69">
        <v>2009</v>
      </c>
      <c r="C69" s="5">
        <v>39927</v>
      </c>
      <c r="D69" t="s">
        <v>172</v>
      </c>
      <c r="E69" t="s">
        <v>46</v>
      </c>
      <c r="F69" t="s">
        <v>26</v>
      </c>
      <c r="G69" t="s">
        <v>46</v>
      </c>
      <c r="H69" t="s">
        <v>176</v>
      </c>
      <c r="I69" t="s">
        <v>174</v>
      </c>
      <c r="J69">
        <v>0</v>
      </c>
      <c r="K69" t="s">
        <v>26</v>
      </c>
      <c r="L69">
        <v>0</v>
      </c>
      <c r="M69">
        <v>7</v>
      </c>
      <c r="N69" t="s">
        <v>225</v>
      </c>
      <c r="O69" t="s">
        <v>89</v>
      </c>
      <c r="P69" t="str">
        <f>INDEX(Teams!$B:$B,MATCH(E69,Teams!$A:$A,0))</f>
        <v>Royal Challengers Bangalore</v>
      </c>
      <c r="Q69" t="str">
        <f>INDEX(Teams!$B:$B,MATCH(F69,Teams!$A:$A,0))</f>
        <v>Kings XI Punjab</v>
      </c>
      <c r="R69" t="str">
        <f>INDEX(Teams!$B:$B,MATCH(G69,Teams!$A:$A,0))</f>
        <v>Royal Challengers Bangalore</v>
      </c>
      <c r="S69" t="str">
        <f>IF(K69="","No result",INDEX(Teams!$B:$B,MATCH(K69,Teams!$A:$A,0)))</f>
        <v>Kings XI Punjab</v>
      </c>
      <c r="T69" t="str">
        <f>INDEX(Venues!$B:$B,MATCH(O69,Venues!$A:$A,0))</f>
        <v>Kingsmead</v>
      </c>
      <c r="U69" t="str">
        <f>INDEX(Venues!$C:$C,MATCH(O69,Venues!$A:$A,0))</f>
        <v>Durban</v>
      </c>
      <c r="V69" t="str">
        <f>IF(L69&gt;0,L69&amp;" runs",IF(M69&gt;0,M69&amp;" wickets","-"))</f>
        <v>7 wickets</v>
      </c>
      <c r="W69">
        <f>IF(G69=K69,1,0)</f>
        <v>0</v>
      </c>
      <c r="X69">
        <f>IF(L69&gt;0,L69,"")</f>
        <v/>
      </c>
      <c r="Y69">
        <f>IF(X69="","",IF(X69&gt;Stats!$B$15,"Outlier",""))</f>
        <v/>
      </c>
      <c r="Z69" t="str">
        <f>P69&amp;" vs "&amp;Q69</f>
        <v>Royal Challengers Bangalore vs Kings XI Punjab</v>
      </c>
    </row>
    <row r="70" spans="1:26" x14ac:dyDescent="0.25">
      <c r="A70">
        <v>128</v>
      </c>
      <c r="B70">
        <v>2009</v>
      </c>
      <c r="C70" s="5">
        <v>39928</v>
      </c>
      <c r="D70" t="s">
        <v>172</v>
      </c>
      <c r="E70" t="s">
        <v>16</v>
      </c>
      <c r="F70" t="s">
        <v>35</v>
      </c>
      <c r="G70" t="s">
        <v>16</v>
      </c>
      <c r="H70" t="s">
        <v>176</v>
      </c>
      <c r="I70" t="s">
        <v>174</v>
      </c>
      <c r="J70">
        <v>0</v>
      </c>
      <c r="K70" t="s">
        <v>16</v>
      </c>
      <c r="L70">
        <v>12</v>
      </c>
      <c r="M70">
        <v>0</v>
      </c>
      <c r="N70" t="s">
        <v>226</v>
      </c>
      <c r="O70" t="s">
        <v>89</v>
      </c>
      <c r="P70" t="str">
        <f>INDEX(Teams!$B:$B,MATCH(E70,Teams!$A:$A,0))</f>
        <v>Deccan Chargers</v>
      </c>
      <c r="Q70" t="str">
        <f>INDEX(Teams!$B:$B,MATCH(F70,Teams!$A:$A,0))</f>
        <v>Mumbai Indians</v>
      </c>
      <c r="R70" t="str">
        <f>INDEX(Teams!$B:$B,MATCH(G70,Teams!$A:$A,0))</f>
        <v>Deccan Chargers</v>
      </c>
      <c r="S70" t="str">
        <f>IF(K70="","No result",INDEX(Teams!$B:$B,MATCH(K70,Teams!$A:$A,0)))</f>
        <v>Deccan Chargers</v>
      </c>
      <c r="T70" t="str">
        <f>INDEX(Venues!$B:$B,MATCH(O70,Venues!$A:$A,0))</f>
        <v>Kingsmead</v>
      </c>
      <c r="U70" t="str">
        <f>INDEX(Venues!$C:$C,MATCH(O70,Venues!$A:$A,0))</f>
        <v>Durban</v>
      </c>
      <c r="V70" t="str">
        <f>IF(L70&gt;0,L70&amp;" runs",IF(M70&gt;0,M70&amp;" wickets","-"))</f>
        <v>12 runs</v>
      </c>
      <c r="W70">
        <f>IF(G70=K70,1,0)</f>
        <v>1</v>
      </c>
      <c r="X70">
        <f>IF(L70&gt;0,L70,"")</f>
        <v>12</v>
      </c>
      <c r="Y70">
        <f>IF(X70="","",IF(X70&gt;Stats!$B$15,"Outlier",""))</f>
        <v/>
      </c>
      <c r="Z70" t="str">
        <f>P70&amp;" vs "&amp;Q70</f>
        <v>Deccan Chargers vs Mumbai Indians</v>
      </c>
    </row>
    <row r="71" spans="1:26" x14ac:dyDescent="0.25">
      <c r="A71">
        <v>129</v>
      </c>
      <c r="B71">
        <v>2009</v>
      </c>
      <c r="C71" s="5">
        <v>39929</v>
      </c>
      <c r="D71" t="s">
        <v>172</v>
      </c>
      <c r="E71" t="s">
        <v>46</v>
      </c>
      <c r="F71" t="s">
        <v>20</v>
      </c>
      <c r="G71" t="s">
        <v>46</v>
      </c>
      <c r="H71" t="s">
        <v>176</v>
      </c>
      <c r="I71" t="s">
        <v>174</v>
      </c>
      <c r="J71">
        <v>0</v>
      </c>
      <c r="K71" t="s">
        <v>20</v>
      </c>
      <c r="L71">
        <v>0</v>
      </c>
      <c r="M71">
        <v>6</v>
      </c>
      <c r="N71" t="s">
        <v>227</v>
      </c>
      <c r="O71" t="s">
        <v>129</v>
      </c>
      <c r="P71" t="str">
        <f>INDEX(Teams!$B:$B,MATCH(E71,Teams!$A:$A,0))</f>
        <v>Royal Challengers Bangalore</v>
      </c>
      <c r="Q71" t="str">
        <f>INDEX(Teams!$B:$B,MATCH(F71,Teams!$A:$A,0))</f>
        <v>Delhi Capitals</v>
      </c>
      <c r="R71" t="str">
        <f>INDEX(Teams!$B:$B,MATCH(G71,Teams!$A:$A,0))</f>
        <v>Royal Challengers Bangalore</v>
      </c>
      <c r="S71" t="str">
        <f>IF(K71="","No result",INDEX(Teams!$B:$B,MATCH(K71,Teams!$A:$A,0)))</f>
        <v>Delhi Capitals</v>
      </c>
      <c r="T71" t="str">
        <f>INDEX(Venues!$B:$B,MATCH(O71,Venues!$A:$A,0))</f>
        <v>St George's Park</v>
      </c>
      <c r="U71" t="str">
        <f>INDEX(Venues!$C:$C,MATCH(O71,Venues!$A:$A,0))</f>
        <v>Port Elizabeth</v>
      </c>
      <c r="V71" t="str">
        <f>IF(L71&gt;0,L71&amp;" runs",IF(M71&gt;0,M71&amp;" wickets","-"))</f>
        <v>6 wickets</v>
      </c>
      <c r="W71">
        <f>IF(G71=K71,1,0)</f>
        <v>0</v>
      </c>
      <c r="X71">
        <f>IF(L71&gt;0,L71,"")</f>
        <v/>
      </c>
      <c r="Y71">
        <f>IF(X71="","",IF(X71&gt;Stats!$B$15,"Outlier",""))</f>
        <v/>
      </c>
      <c r="Z71" t="str">
        <f>P71&amp;" vs "&amp;Q71</f>
        <v>Royal Challengers Bangalore vs Delhi Capitals</v>
      </c>
    </row>
    <row r="72" spans="1:26" x14ac:dyDescent="0.25">
      <c r="A72">
        <v>130</v>
      </c>
      <c r="B72">
        <v>2009</v>
      </c>
      <c r="C72" s="5">
        <v>39929</v>
      </c>
      <c r="D72" t="s">
        <v>172</v>
      </c>
      <c r="E72" t="s">
        <v>26</v>
      </c>
      <c r="F72" t="s">
        <v>41</v>
      </c>
      <c r="G72" t="s">
        <v>26</v>
      </c>
      <c r="H72" t="s">
        <v>176</v>
      </c>
      <c r="I72" t="s">
        <v>174</v>
      </c>
      <c r="J72">
        <v>0</v>
      </c>
      <c r="K72" t="s">
        <v>26</v>
      </c>
      <c r="L72">
        <v>27</v>
      </c>
      <c r="M72">
        <v>0</v>
      </c>
      <c r="N72" t="s">
        <v>185</v>
      </c>
      <c r="O72" t="s">
        <v>103</v>
      </c>
      <c r="P72" t="str">
        <f>INDEX(Teams!$B:$B,MATCH(E72,Teams!$A:$A,0))</f>
        <v>Kings XI Punjab</v>
      </c>
      <c r="Q72" t="str">
        <f>INDEX(Teams!$B:$B,MATCH(F72,Teams!$A:$A,0))</f>
        <v>Rajasthan Royals</v>
      </c>
      <c r="R72" t="str">
        <f>INDEX(Teams!$B:$B,MATCH(G72,Teams!$A:$A,0))</f>
        <v>Kings XI Punjab</v>
      </c>
      <c r="S72" t="str">
        <f>IF(K72="","No result",INDEX(Teams!$B:$B,MATCH(K72,Teams!$A:$A,0)))</f>
        <v>Kings XI Punjab</v>
      </c>
      <c r="T72" t="str">
        <f>INDEX(Venues!$B:$B,MATCH(O72,Venues!$A:$A,0))</f>
        <v>Newlands</v>
      </c>
      <c r="U72" t="str">
        <f>INDEX(Venues!$C:$C,MATCH(O72,Venues!$A:$A,0))</f>
        <v>Cape Town</v>
      </c>
      <c r="V72" t="str">
        <f>IF(L72&gt;0,L72&amp;" runs",IF(M72&gt;0,M72&amp;" wickets","-"))</f>
        <v>27 runs</v>
      </c>
      <c r="W72">
        <f>IF(G72=K72,1,0)</f>
        <v>1</v>
      </c>
      <c r="X72">
        <f>IF(L72&gt;0,L72,"")</f>
        <v>27</v>
      </c>
      <c r="Y72">
        <f>IF(X72="","",IF(X72&gt;Stats!$B$15,"Outlier",""))</f>
        <v/>
      </c>
      <c r="Z72" t="str">
        <f>P72&amp;" vs "&amp;Q72</f>
        <v>Kings XI Punjab vs Rajasthan Royals</v>
      </c>
    </row>
    <row r="73" spans="1:26" x14ac:dyDescent="0.25">
      <c r="A73">
        <v>131</v>
      </c>
      <c r="B73">
        <v>2009</v>
      </c>
      <c r="C73" s="5">
        <v>39930</v>
      </c>
      <c r="D73" t="s">
        <v>172</v>
      </c>
      <c r="E73" t="s">
        <v>12</v>
      </c>
      <c r="F73" t="s">
        <v>16</v>
      </c>
      <c r="G73" t="s">
        <v>16</v>
      </c>
      <c r="H73" t="s">
        <v>173</v>
      </c>
      <c r="I73" t="s">
        <v>174</v>
      </c>
      <c r="J73">
        <v>0</v>
      </c>
      <c r="K73" t="s">
        <v>16</v>
      </c>
      <c r="L73">
        <v>0</v>
      </c>
      <c r="M73">
        <v>6</v>
      </c>
      <c r="N73" t="s">
        <v>228</v>
      </c>
      <c r="O73" t="s">
        <v>89</v>
      </c>
      <c r="P73" t="str">
        <f>INDEX(Teams!$B:$B,MATCH(E73,Teams!$A:$A,0))</f>
        <v>Chennai Super Kings</v>
      </c>
      <c r="Q73" t="str">
        <f>INDEX(Teams!$B:$B,MATCH(F73,Teams!$A:$A,0))</f>
        <v>Deccan Chargers</v>
      </c>
      <c r="R73" t="str">
        <f>INDEX(Teams!$B:$B,MATCH(G73,Teams!$A:$A,0))</f>
        <v>Deccan Chargers</v>
      </c>
      <c r="S73" t="str">
        <f>IF(K73="","No result",INDEX(Teams!$B:$B,MATCH(K73,Teams!$A:$A,0)))</f>
        <v>Deccan Chargers</v>
      </c>
      <c r="T73" t="str">
        <f>INDEX(Venues!$B:$B,MATCH(O73,Venues!$A:$A,0))</f>
        <v>Kingsmead</v>
      </c>
      <c r="U73" t="str">
        <f>INDEX(Venues!$C:$C,MATCH(O73,Venues!$A:$A,0))</f>
        <v>Durban</v>
      </c>
      <c r="V73" t="str">
        <f>IF(L73&gt;0,L73&amp;" runs",IF(M73&gt;0,M73&amp;" wickets","-"))</f>
        <v>6 wickets</v>
      </c>
      <c r="W73">
        <f>IF(G73=K73,1,0)</f>
        <v>1</v>
      </c>
      <c r="X73">
        <f>IF(L73&gt;0,L73,"")</f>
        <v/>
      </c>
      <c r="Y73">
        <f>IF(X73="","",IF(X73&gt;Stats!$B$15,"Outlier",""))</f>
        <v/>
      </c>
      <c r="Z73" t="str">
        <f>P73&amp;" vs "&amp;Q73</f>
        <v>Chennai Super Kings vs Deccan Chargers</v>
      </c>
    </row>
    <row r="74" spans="1:26" x14ac:dyDescent="0.25">
      <c r="A74">
        <v>132</v>
      </c>
      <c r="B74">
        <v>2009</v>
      </c>
      <c r="C74" s="5">
        <v>39930</v>
      </c>
      <c r="D74" t="s">
        <v>172</v>
      </c>
      <c r="E74" t="s">
        <v>35</v>
      </c>
      <c r="F74" t="s">
        <v>32</v>
      </c>
      <c r="G74" t="s">
        <v>35</v>
      </c>
      <c r="H74" t="s">
        <v>176</v>
      </c>
      <c r="I74" t="s">
        <v>174</v>
      </c>
      <c r="J74">
        <v>0</v>
      </c>
      <c r="K74" t="s">
        <v>35</v>
      </c>
      <c r="L74">
        <v>92</v>
      </c>
      <c r="M74">
        <v>0</v>
      </c>
      <c r="N74" t="s">
        <v>217</v>
      </c>
      <c r="O74" t="s">
        <v>129</v>
      </c>
      <c r="P74" t="str">
        <f>INDEX(Teams!$B:$B,MATCH(E74,Teams!$A:$A,0))</f>
        <v>Mumbai Indians</v>
      </c>
      <c r="Q74" t="str">
        <f>INDEX(Teams!$B:$B,MATCH(F74,Teams!$A:$A,0))</f>
        <v>Kolkata Knight Riders</v>
      </c>
      <c r="R74" t="str">
        <f>INDEX(Teams!$B:$B,MATCH(G74,Teams!$A:$A,0))</f>
        <v>Mumbai Indians</v>
      </c>
      <c r="S74" t="str">
        <f>IF(K74="","No result",INDEX(Teams!$B:$B,MATCH(K74,Teams!$A:$A,0)))</f>
        <v>Mumbai Indians</v>
      </c>
      <c r="T74" t="str">
        <f>INDEX(Venues!$B:$B,MATCH(O74,Venues!$A:$A,0))</f>
        <v>St George's Park</v>
      </c>
      <c r="U74" t="str">
        <f>INDEX(Venues!$C:$C,MATCH(O74,Venues!$A:$A,0))</f>
        <v>Port Elizabeth</v>
      </c>
      <c r="V74" t="str">
        <f>IF(L74&gt;0,L74&amp;" runs",IF(M74&gt;0,M74&amp;" wickets","-"))</f>
        <v>92 runs</v>
      </c>
      <c r="W74">
        <f>IF(G74=K74,1,0)</f>
        <v>1</v>
      </c>
      <c r="X74">
        <f>IF(L74&gt;0,L74,"")</f>
        <v>92</v>
      </c>
      <c r="Y74" t="str">
        <f>IF(X74="","",IF(X74&gt;Stats!$B$15,"Outlier",""))</f>
        <v>Outlier</v>
      </c>
      <c r="Z74" t="str">
        <f>P74&amp;" vs "&amp;Q74</f>
        <v>Mumbai Indians vs Kolkata Knight Riders</v>
      </c>
    </row>
    <row r="75" spans="1:26" x14ac:dyDescent="0.25">
      <c r="A75">
        <v>133</v>
      </c>
      <c r="B75">
        <v>2009</v>
      </c>
      <c r="C75" s="5">
        <v>39931</v>
      </c>
      <c r="D75" t="s">
        <v>172</v>
      </c>
      <c r="E75" t="s">
        <v>20</v>
      </c>
      <c r="F75" t="s">
        <v>41</v>
      </c>
      <c r="G75" t="s">
        <v>20</v>
      </c>
      <c r="H75" t="s">
        <v>176</v>
      </c>
      <c r="I75" t="s">
        <v>174</v>
      </c>
      <c r="J75">
        <v>0</v>
      </c>
      <c r="K75" t="s">
        <v>41</v>
      </c>
      <c r="L75">
        <v>0</v>
      </c>
      <c r="M75">
        <v>5</v>
      </c>
      <c r="N75" t="s">
        <v>184</v>
      </c>
      <c r="O75" t="s">
        <v>132</v>
      </c>
      <c r="P75" t="str">
        <f>INDEX(Teams!$B:$B,MATCH(E75,Teams!$A:$A,0))</f>
        <v>Delhi Capitals</v>
      </c>
      <c r="Q75" t="str">
        <f>INDEX(Teams!$B:$B,MATCH(F75,Teams!$A:$A,0))</f>
        <v>Rajasthan Royals</v>
      </c>
      <c r="R75" t="str">
        <f>INDEX(Teams!$B:$B,MATCH(G75,Teams!$A:$A,0))</f>
        <v>Delhi Capitals</v>
      </c>
      <c r="S75" t="str">
        <f>IF(K75="","No result",INDEX(Teams!$B:$B,MATCH(K75,Teams!$A:$A,0)))</f>
        <v>Rajasthan Royals</v>
      </c>
      <c r="T75" t="str">
        <f>INDEX(Venues!$B:$B,MATCH(O75,Venues!$A:$A,0))</f>
        <v>SuperSport Park</v>
      </c>
      <c r="U75" t="str">
        <f>INDEX(Venues!$C:$C,MATCH(O75,Venues!$A:$A,0))</f>
        <v>Centurion</v>
      </c>
      <c r="V75" t="str">
        <f>IF(L75&gt;0,L75&amp;" runs",IF(M75&gt;0,M75&amp;" wickets","-"))</f>
        <v>5 wickets</v>
      </c>
      <c r="W75">
        <f>IF(G75=K75,1,0)</f>
        <v>0</v>
      </c>
      <c r="X75">
        <f>IF(L75&gt;0,L75,"")</f>
        <v/>
      </c>
      <c r="Y75">
        <f>IF(X75="","",IF(X75&gt;Stats!$B$15,"Outlier",""))</f>
        <v/>
      </c>
      <c r="Z75" t="str">
        <f>P75&amp;" vs "&amp;Q75</f>
        <v>Delhi Capitals vs Rajasthan Royals</v>
      </c>
    </row>
    <row r="76" spans="1:26" x14ac:dyDescent="0.25">
      <c r="A76">
        <v>134</v>
      </c>
      <c r="B76">
        <v>2009</v>
      </c>
      <c r="C76" s="5">
        <v>39932</v>
      </c>
      <c r="D76" t="s">
        <v>172</v>
      </c>
      <c r="E76" t="s">
        <v>32</v>
      </c>
      <c r="F76" t="s">
        <v>46</v>
      </c>
      <c r="G76" t="s">
        <v>32</v>
      </c>
      <c r="H76" t="s">
        <v>176</v>
      </c>
      <c r="I76" t="s">
        <v>174</v>
      </c>
      <c r="J76">
        <v>0</v>
      </c>
      <c r="K76" t="s">
        <v>46</v>
      </c>
      <c r="L76">
        <v>0</v>
      </c>
      <c r="M76">
        <v>5</v>
      </c>
      <c r="N76" t="s">
        <v>179</v>
      </c>
      <c r="O76" t="s">
        <v>89</v>
      </c>
      <c r="P76" t="str">
        <f>INDEX(Teams!$B:$B,MATCH(E76,Teams!$A:$A,0))</f>
        <v>Kolkata Knight Riders</v>
      </c>
      <c r="Q76" t="str">
        <f>INDEX(Teams!$B:$B,MATCH(F76,Teams!$A:$A,0))</f>
        <v>Royal Challengers Bangalore</v>
      </c>
      <c r="R76" t="str">
        <f>INDEX(Teams!$B:$B,MATCH(G76,Teams!$A:$A,0))</f>
        <v>Kolkata Knight Riders</v>
      </c>
      <c r="S76" t="str">
        <f>IF(K76="","No result",INDEX(Teams!$B:$B,MATCH(K76,Teams!$A:$A,0)))</f>
        <v>Royal Challengers Bangalore</v>
      </c>
      <c r="T76" t="str">
        <f>INDEX(Venues!$B:$B,MATCH(O76,Venues!$A:$A,0))</f>
        <v>Kingsmead</v>
      </c>
      <c r="U76" t="str">
        <f>INDEX(Venues!$C:$C,MATCH(O76,Venues!$A:$A,0))</f>
        <v>Durban</v>
      </c>
      <c r="V76" t="str">
        <f>IF(L76&gt;0,L76&amp;" runs",IF(M76&gt;0,M76&amp;" wickets","-"))</f>
        <v>5 wickets</v>
      </c>
      <c r="W76">
        <f>IF(G76=K76,1,0)</f>
        <v>0</v>
      </c>
      <c r="X76">
        <f>IF(L76&gt;0,L76,"")</f>
        <v/>
      </c>
      <c r="Y76">
        <f>IF(X76="","",IF(X76&gt;Stats!$B$15,"Outlier",""))</f>
        <v/>
      </c>
      <c r="Z76" t="str">
        <f>P76&amp;" vs "&amp;Q76</f>
        <v>Kolkata Knight Riders vs Royal Challengers Bangalore</v>
      </c>
    </row>
    <row r="77" spans="1:26" x14ac:dyDescent="0.25">
      <c r="A77">
        <v>135</v>
      </c>
      <c r="B77">
        <v>2009</v>
      </c>
      <c r="C77" s="5">
        <v>39932</v>
      </c>
      <c r="D77" t="s">
        <v>172</v>
      </c>
      <c r="E77" t="s">
        <v>26</v>
      </c>
      <c r="F77" t="s">
        <v>35</v>
      </c>
      <c r="G77" t="s">
        <v>26</v>
      </c>
      <c r="H77" t="s">
        <v>176</v>
      </c>
      <c r="I77" t="s">
        <v>174</v>
      </c>
      <c r="J77">
        <v>0</v>
      </c>
      <c r="K77" t="s">
        <v>26</v>
      </c>
      <c r="L77">
        <v>3</v>
      </c>
      <c r="M77">
        <v>0</v>
      </c>
      <c r="N77" t="s">
        <v>185</v>
      </c>
      <c r="O77" t="s">
        <v>89</v>
      </c>
      <c r="P77" t="str">
        <f>INDEX(Teams!$B:$B,MATCH(E77,Teams!$A:$A,0))</f>
        <v>Kings XI Punjab</v>
      </c>
      <c r="Q77" t="str">
        <f>INDEX(Teams!$B:$B,MATCH(F77,Teams!$A:$A,0))</f>
        <v>Mumbai Indians</v>
      </c>
      <c r="R77" t="str">
        <f>INDEX(Teams!$B:$B,MATCH(G77,Teams!$A:$A,0))</f>
        <v>Kings XI Punjab</v>
      </c>
      <c r="S77" t="str">
        <f>IF(K77="","No result",INDEX(Teams!$B:$B,MATCH(K77,Teams!$A:$A,0)))</f>
        <v>Kings XI Punjab</v>
      </c>
      <c r="T77" t="str">
        <f>INDEX(Venues!$B:$B,MATCH(O77,Venues!$A:$A,0))</f>
        <v>Kingsmead</v>
      </c>
      <c r="U77" t="str">
        <f>INDEX(Venues!$C:$C,MATCH(O77,Venues!$A:$A,0))</f>
        <v>Durban</v>
      </c>
      <c r="V77" t="str">
        <f>IF(L77&gt;0,L77&amp;" runs",IF(M77&gt;0,M77&amp;" wickets","-"))</f>
        <v>3 runs</v>
      </c>
      <c r="W77">
        <f>IF(G77=K77,1,0)</f>
        <v>1</v>
      </c>
      <c r="X77">
        <f>IF(L77&gt;0,L77,"")</f>
        <v>3</v>
      </c>
      <c r="Y77">
        <f>IF(X77="","",IF(X77&gt;Stats!$B$15,"Outlier",""))</f>
        <v/>
      </c>
      <c r="Z77" t="str">
        <f>P77&amp;" vs "&amp;Q77</f>
        <v>Kings XI Punjab vs Mumbai Indians</v>
      </c>
    </row>
    <row r="78" spans="1:26" x14ac:dyDescent="0.25">
      <c r="A78">
        <v>136</v>
      </c>
      <c r="B78">
        <v>2009</v>
      </c>
      <c r="C78" s="5">
        <v>39933</v>
      </c>
      <c r="D78" t="s">
        <v>172</v>
      </c>
      <c r="E78" t="s">
        <v>16</v>
      </c>
      <c r="F78" t="s">
        <v>20</v>
      </c>
      <c r="G78" t="s">
        <v>20</v>
      </c>
      <c r="H78" t="s">
        <v>173</v>
      </c>
      <c r="I78" t="s">
        <v>174</v>
      </c>
      <c r="J78">
        <v>0</v>
      </c>
      <c r="K78" t="s">
        <v>20</v>
      </c>
      <c r="L78">
        <v>0</v>
      </c>
      <c r="M78">
        <v>6</v>
      </c>
      <c r="N78" t="s">
        <v>229</v>
      </c>
      <c r="O78" t="s">
        <v>132</v>
      </c>
      <c r="P78" t="str">
        <f>INDEX(Teams!$B:$B,MATCH(E78,Teams!$A:$A,0))</f>
        <v>Deccan Chargers</v>
      </c>
      <c r="Q78" t="str">
        <f>INDEX(Teams!$B:$B,MATCH(F78,Teams!$A:$A,0))</f>
        <v>Delhi Capitals</v>
      </c>
      <c r="R78" t="str">
        <f>INDEX(Teams!$B:$B,MATCH(G78,Teams!$A:$A,0))</f>
        <v>Delhi Capitals</v>
      </c>
      <c r="S78" t="str">
        <f>IF(K78="","No result",INDEX(Teams!$B:$B,MATCH(K78,Teams!$A:$A,0)))</f>
        <v>Delhi Capitals</v>
      </c>
      <c r="T78" t="str">
        <f>INDEX(Venues!$B:$B,MATCH(O78,Venues!$A:$A,0))</f>
        <v>SuperSport Park</v>
      </c>
      <c r="U78" t="str">
        <f>INDEX(Venues!$C:$C,MATCH(O78,Venues!$A:$A,0))</f>
        <v>Centurion</v>
      </c>
      <c r="V78" t="str">
        <f>IF(L78&gt;0,L78&amp;" runs",IF(M78&gt;0,M78&amp;" wickets","-"))</f>
        <v>6 wickets</v>
      </c>
      <c r="W78">
        <f>IF(G78=K78,1,0)</f>
        <v>1</v>
      </c>
      <c r="X78">
        <f>IF(L78&gt;0,L78,"")</f>
        <v/>
      </c>
      <c r="Y78">
        <f>IF(X78="","",IF(X78&gt;Stats!$B$15,"Outlier",""))</f>
        <v/>
      </c>
      <c r="Z78" t="str">
        <f>P78&amp;" vs "&amp;Q78</f>
        <v>Deccan Chargers vs Delhi Capitals</v>
      </c>
    </row>
    <row r="79" spans="1:26" x14ac:dyDescent="0.25">
      <c r="A79">
        <v>137</v>
      </c>
      <c r="B79">
        <v>2009</v>
      </c>
      <c r="C79" s="5">
        <v>39933</v>
      </c>
      <c r="D79" t="s">
        <v>172</v>
      </c>
      <c r="E79" t="s">
        <v>12</v>
      </c>
      <c r="F79" t="s">
        <v>41</v>
      </c>
      <c r="G79" t="s">
        <v>41</v>
      </c>
      <c r="H79" t="s">
        <v>173</v>
      </c>
      <c r="I79" t="s">
        <v>174</v>
      </c>
      <c r="J79">
        <v>0</v>
      </c>
      <c r="K79" t="s">
        <v>12</v>
      </c>
      <c r="L79">
        <v>38</v>
      </c>
      <c r="M79">
        <v>0</v>
      </c>
      <c r="N79" t="s">
        <v>214</v>
      </c>
      <c r="O79" t="s">
        <v>132</v>
      </c>
      <c r="P79" t="str">
        <f>INDEX(Teams!$B:$B,MATCH(E79,Teams!$A:$A,0))</f>
        <v>Chennai Super Kings</v>
      </c>
      <c r="Q79" t="str">
        <f>INDEX(Teams!$B:$B,MATCH(F79,Teams!$A:$A,0))</f>
        <v>Rajasthan Royals</v>
      </c>
      <c r="R79" t="str">
        <f>INDEX(Teams!$B:$B,MATCH(G79,Teams!$A:$A,0))</f>
        <v>Rajasthan Royals</v>
      </c>
      <c r="S79" t="str">
        <f>IF(K79="","No result",INDEX(Teams!$B:$B,MATCH(K79,Teams!$A:$A,0)))</f>
        <v>Chennai Super Kings</v>
      </c>
      <c r="T79" t="str">
        <f>INDEX(Venues!$B:$B,MATCH(O79,Venues!$A:$A,0))</f>
        <v>SuperSport Park</v>
      </c>
      <c r="U79" t="str">
        <f>INDEX(Venues!$C:$C,MATCH(O79,Venues!$A:$A,0))</f>
        <v>Centurion</v>
      </c>
      <c r="V79" t="str">
        <f>IF(L79&gt;0,L79&amp;" runs",IF(M79&gt;0,M79&amp;" wickets","-"))</f>
        <v>38 runs</v>
      </c>
      <c r="W79">
        <f>IF(G79=K79,1,0)</f>
        <v>0</v>
      </c>
      <c r="X79">
        <f>IF(L79&gt;0,L79,"")</f>
        <v>38</v>
      </c>
      <c r="Y79">
        <f>IF(X79="","",IF(X79&gt;Stats!$B$15,"Outlier",""))</f>
        <v/>
      </c>
      <c r="Z79" t="str">
        <f>P79&amp;" vs "&amp;Q79</f>
        <v>Chennai Super Kings vs Rajasthan Royals</v>
      </c>
    </row>
    <row r="80" spans="1:26" x14ac:dyDescent="0.25">
      <c r="A80">
        <v>138</v>
      </c>
      <c r="B80">
        <v>2009</v>
      </c>
      <c r="C80" s="5">
        <v>39934</v>
      </c>
      <c r="D80" t="s">
        <v>172</v>
      </c>
      <c r="E80" t="s">
        <v>35</v>
      </c>
      <c r="F80" t="s">
        <v>32</v>
      </c>
      <c r="G80" t="s">
        <v>35</v>
      </c>
      <c r="H80" t="s">
        <v>176</v>
      </c>
      <c r="I80" t="s">
        <v>174</v>
      </c>
      <c r="J80">
        <v>0</v>
      </c>
      <c r="K80" t="s">
        <v>35</v>
      </c>
      <c r="L80">
        <v>9</v>
      </c>
      <c r="M80">
        <v>0</v>
      </c>
      <c r="N80" t="s">
        <v>230</v>
      </c>
      <c r="O80" t="s">
        <v>59</v>
      </c>
      <c r="P80" t="str">
        <f>INDEX(Teams!$B:$B,MATCH(E80,Teams!$A:$A,0))</f>
        <v>Mumbai Indians</v>
      </c>
      <c r="Q80" t="str">
        <f>INDEX(Teams!$B:$B,MATCH(F80,Teams!$A:$A,0))</f>
        <v>Kolkata Knight Riders</v>
      </c>
      <c r="R80" t="str">
        <f>INDEX(Teams!$B:$B,MATCH(G80,Teams!$A:$A,0))</f>
        <v>Mumbai Indians</v>
      </c>
      <c r="S80" t="str">
        <f>IF(K80="","No result",INDEX(Teams!$B:$B,MATCH(K80,Teams!$A:$A,0)))</f>
        <v>Mumbai Indians</v>
      </c>
      <c r="T80" t="str">
        <f>INDEX(Venues!$B:$B,MATCH(O80,Venues!$A:$A,0))</f>
        <v>Buffalo Park</v>
      </c>
      <c r="U80" t="str">
        <f>INDEX(Venues!$C:$C,MATCH(O80,Venues!$A:$A,0))</f>
        <v>East London</v>
      </c>
      <c r="V80" t="str">
        <f>IF(L80&gt;0,L80&amp;" runs",IF(M80&gt;0,M80&amp;" wickets","-"))</f>
        <v>9 runs</v>
      </c>
      <c r="W80">
        <f>IF(G80=K80,1,0)</f>
        <v>1</v>
      </c>
      <c r="X80">
        <f>IF(L80&gt;0,L80,"")</f>
        <v>9</v>
      </c>
      <c r="Y80">
        <f>IF(X80="","",IF(X80&gt;Stats!$B$15,"Outlier",""))</f>
        <v/>
      </c>
      <c r="Z80" t="str">
        <f>P80&amp;" vs "&amp;Q80</f>
        <v>Mumbai Indians vs Kolkata Knight Riders</v>
      </c>
    </row>
    <row r="81" spans="1:26" x14ac:dyDescent="0.25">
      <c r="A81">
        <v>139</v>
      </c>
      <c r="B81">
        <v>2009</v>
      </c>
      <c r="C81" s="5">
        <v>39934</v>
      </c>
      <c r="D81" t="s">
        <v>172</v>
      </c>
      <c r="E81" t="s">
        <v>46</v>
      </c>
      <c r="F81" t="s">
        <v>26</v>
      </c>
      <c r="G81" t="s">
        <v>46</v>
      </c>
      <c r="H81" t="s">
        <v>176</v>
      </c>
      <c r="I81" t="s">
        <v>174</v>
      </c>
      <c r="J81">
        <v>0</v>
      </c>
      <c r="K81" t="s">
        <v>46</v>
      </c>
      <c r="L81">
        <v>8</v>
      </c>
      <c r="M81">
        <v>0</v>
      </c>
      <c r="N81" t="s">
        <v>231</v>
      </c>
      <c r="O81" t="s">
        <v>89</v>
      </c>
      <c r="P81" t="str">
        <f>INDEX(Teams!$B:$B,MATCH(E81,Teams!$A:$A,0))</f>
        <v>Royal Challengers Bangalore</v>
      </c>
      <c r="Q81" t="str">
        <f>INDEX(Teams!$B:$B,MATCH(F81,Teams!$A:$A,0))</f>
        <v>Kings XI Punjab</v>
      </c>
      <c r="R81" t="str">
        <f>INDEX(Teams!$B:$B,MATCH(G81,Teams!$A:$A,0))</f>
        <v>Royal Challengers Bangalore</v>
      </c>
      <c r="S81" t="str">
        <f>IF(K81="","No result",INDEX(Teams!$B:$B,MATCH(K81,Teams!$A:$A,0)))</f>
        <v>Royal Challengers Bangalore</v>
      </c>
      <c r="T81" t="str">
        <f>INDEX(Venues!$B:$B,MATCH(O81,Venues!$A:$A,0))</f>
        <v>Kingsmead</v>
      </c>
      <c r="U81" t="str">
        <f>INDEX(Venues!$C:$C,MATCH(O81,Venues!$A:$A,0))</f>
        <v>Durban</v>
      </c>
      <c r="V81" t="str">
        <f>IF(L81&gt;0,L81&amp;" runs",IF(M81&gt;0,M81&amp;" wickets","-"))</f>
        <v>8 runs</v>
      </c>
      <c r="W81">
        <f>IF(G81=K81,1,0)</f>
        <v>1</v>
      </c>
      <c r="X81">
        <f>IF(L81&gt;0,L81,"")</f>
        <v>8</v>
      </c>
      <c r="Y81">
        <f>IF(X81="","",IF(X81&gt;Stats!$B$15,"Outlier",""))</f>
        <v/>
      </c>
      <c r="Z81" t="str">
        <f>P81&amp;" vs "&amp;Q81</f>
        <v>Royal Challengers Bangalore vs Kings XI Punjab</v>
      </c>
    </row>
    <row r="82" spans="1:26" x14ac:dyDescent="0.25">
      <c r="A82">
        <v>140</v>
      </c>
      <c r="B82">
        <v>2009</v>
      </c>
      <c r="C82" s="5">
        <v>39935</v>
      </c>
      <c r="D82" t="s">
        <v>172</v>
      </c>
      <c r="E82" t="s">
        <v>16</v>
      </c>
      <c r="F82" t="s">
        <v>41</v>
      </c>
      <c r="G82" t="s">
        <v>16</v>
      </c>
      <c r="H82" t="s">
        <v>176</v>
      </c>
      <c r="I82" t="s">
        <v>174</v>
      </c>
      <c r="J82">
        <v>0</v>
      </c>
      <c r="K82" t="s">
        <v>41</v>
      </c>
      <c r="L82">
        <v>0</v>
      </c>
      <c r="M82">
        <v>3</v>
      </c>
      <c r="N82" t="s">
        <v>184</v>
      </c>
      <c r="O82" t="s">
        <v>129</v>
      </c>
      <c r="P82" t="str">
        <f>INDEX(Teams!$B:$B,MATCH(E82,Teams!$A:$A,0))</f>
        <v>Deccan Chargers</v>
      </c>
      <c r="Q82" t="str">
        <f>INDEX(Teams!$B:$B,MATCH(F82,Teams!$A:$A,0))</f>
        <v>Rajasthan Royals</v>
      </c>
      <c r="R82" t="str">
        <f>INDEX(Teams!$B:$B,MATCH(G82,Teams!$A:$A,0))</f>
        <v>Deccan Chargers</v>
      </c>
      <c r="S82" t="str">
        <f>IF(K82="","No result",INDEX(Teams!$B:$B,MATCH(K82,Teams!$A:$A,0)))</f>
        <v>Rajasthan Royals</v>
      </c>
      <c r="T82" t="str">
        <f>INDEX(Venues!$B:$B,MATCH(O82,Venues!$A:$A,0))</f>
        <v>St George's Park</v>
      </c>
      <c r="U82" t="str">
        <f>INDEX(Venues!$C:$C,MATCH(O82,Venues!$A:$A,0))</f>
        <v>Port Elizabeth</v>
      </c>
      <c r="V82" t="str">
        <f>IF(L82&gt;0,L82&amp;" runs",IF(M82&gt;0,M82&amp;" wickets","-"))</f>
        <v>3 wickets</v>
      </c>
      <c r="W82">
        <f>IF(G82=K82,1,0)</f>
        <v>0</v>
      </c>
      <c r="X82">
        <f>IF(L82&gt;0,L82,"")</f>
        <v/>
      </c>
      <c r="Y82">
        <f>IF(X82="","",IF(X82&gt;Stats!$B$15,"Outlier",""))</f>
        <v/>
      </c>
      <c r="Z82" t="str">
        <f>P82&amp;" vs "&amp;Q82</f>
        <v>Deccan Chargers vs Rajasthan Royals</v>
      </c>
    </row>
    <row r="83" spans="1:26" x14ac:dyDescent="0.25">
      <c r="A83">
        <v>141</v>
      </c>
      <c r="B83">
        <v>2009</v>
      </c>
      <c r="C83" s="5">
        <v>39935</v>
      </c>
      <c r="D83" t="s">
        <v>172</v>
      </c>
      <c r="E83" t="s">
        <v>12</v>
      </c>
      <c r="F83" t="s">
        <v>20</v>
      </c>
      <c r="G83" t="s">
        <v>20</v>
      </c>
      <c r="H83" t="s">
        <v>173</v>
      </c>
      <c r="I83" t="s">
        <v>174</v>
      </c>
      <c r="J83">
        <v>0</v>
      </c>
      <c r="K83" t="s">
        <v>12</v>
      </c>
      <c r="L83">
        <v>18</v>
      </c>
      <c r="M83">
        <v>0</v>
      </c>
      <c r="N83" t="s">
        <v>232</v>
      </c>
      <c r="O83" t="s">
        <v>100</v>
      </c>
      <c r="P83" t="str">
        <f>INDEX(Teams!$B:$B,MATCH(E83,Teams!$A:$A,0))</f>
        <v>Chennai Super Kings</v>
      </c>
      <c r="Q83" t="str">
        <f>INDEX(Teams!$B:$B,MATCH(F83,Teams!$A:$A,0))</f>
        <v>Delhi Capitals</v>
      </c>
      <c r="R83" t="str">
        <f>INDEX(Teams!$B:$B,MATCH(G83,Teams!$A:$A,0))</f>
        <v>Delhi Capitals</v>
      </c>
      <c r="S83" t="str">
        <f>IF(K83="","No result",INDEX(Teams!$B:$B,MATCH(K83,Teams!$A:$A,0)))</f>
        <v>Chennai Super Kings</v>
      </c>
      <c r="T83" t="str">
        <f>INDEX(Venues!$B:$B,MATCH(O83,Venues!$A:$A,0))</f>
        <v>New Wanderers Stadium</v>
      </c>
      <c r="U83" t="str">
        <f>INDEX(Venues!$C:$C,MATCH(O83,Venues!$A:$A,0))</f>
        <v>Johannesburg</v>
      </c>
      <c r="V83" t="str">
        <f>IF(L83&gt;0,L83&amp;" runs",IF(M83&gt;0,M83&amp;" wickets","-"))</f>
        <v>18 runs</v>
      </c>
      <c r="W83">
        <f>IF(G83=K83,1,0)</f>
        <v>0</v>
      </c>
      <c r="X83">
        <f>IF(L83&gt;0,L83,"")</f>
        <v>18</v>
      </c>
      <c r="Y83">
        <f>IF(X83="","",IF(X83&gt;Stats!$B$15,"Outlier",""))</f>
        <v/>
      </c>
      <c r="Z83" t="str">
        <f>P83&amp;" vs "&amp;Q83</f>
        <v>Chennai Super Kings vs Delhi Capitals</v>
      </c>
    </row>
    <row r="84" spans="1:26" x14ac:dyDescent="0.25">
      <c r="A84">
        <v>142</v>
      </c>
      <c r="B84">
        <v>2009</v>
      </c>
      <c r="C84" s="5">
        <v>39936</v>
      </c>
      <c r="D84" t="s">
        <v>172</v>
      </c>
      <c r="E84" t="s">
        <v>32</v>
      </c>
      <c r="F84" t="s">
        <v>26</v>
      </c>
      <c r="G84" t="s">
        <v>32</v>
      </c>
      <c r="H84" t="s">
        <v>176</v>
      </c>
      <c r="I84" t="s">
        <v>174</v>
      </c>
      <c r="J84">
        <v>0</v>
      </c>
      <c r="K84" t="s">
        <v>26</v>
      </c>
      <c r="L84">
        <v>0</v>
      </c>
      <c r="M84">
        <v>6</v>
      </c>
      <c r="N84" t="s">
        <v>204</v>
      </c>
      <c r="O84" t="s">
        <v>129</v>
      </c>
      <c r="P84" t="str">
        <f>INDEX(Teams!$B:$B,MATCH(E84,Teams!$A:$A,0))</f>
        <v>Kolkata Knight Riders</v>
      </c>
      <c r="Q84" t="str">
        <f>INDEX(Teams!$B:$B,MATCH(F84,Teams!$A:$A,0))</f>
        <v>Kings XI Punjab</v>
      </c>
      <c r="R84" t="str">
        <f>INDEX(Teams!$B:$B,MATCH(G84,Teams!$A:$A,0))</f>
        <v>Kolkata Knight Riders</v>
      </c>
      <c r="S84" t="str">
        <f>IF(K84="","No result",INDEX(Teams!$B:$B,MATCH(K84,Teams!$A:$A,0)))</f>
        <v>Kings XI Punjab</v>
      </c>
      <c r="T84" t="str">
        <f>INDEX(Venues!$B:$B,MATCH(O84,Venues!$A:$A,0))</f>
        <v>St George's Park</v>
      </c>
      <c r="U84" t="str">
        <f>INDEX(Venues!$C:$C,MATCH(O84,Venues!$A:$A,0))</f>
        <v>Port Elizabeth</v>
      </c>
      <c r="V84" t="str">
        <f>IF(L84&gt;0,L84&amp;" runs",IF(M84&gt;0,M84&amp;" wickets","-"))</f>
        <v>6 wickets</v>
      </c>
      <c r="W84">
        <f>IF(G84=K84,1,0)</f>
        <v>0</v>
      </c>
      <c r="X84">
        <f>IF(L84&gt;0,L84,"")</f>
        <v/>
      </c>
      <c r="Y84">
        <f>IF(X84="","",IF(X84&gt;Stats!$B$15,"Outlier",""))</f>
        <v/>
      </c>
      <c r="Z84" t="str">
        <f>P84&amp;" vs "&amp;Q84</f>
        <v>Kolkata Knight Riders vs Kings XI Punjab</v>
      </c>
    </row>
    <row r="85" spans="1:26" x14ac:dyDescent="0.25">
      <c r="A85">
        <v>143</v>
      </c>
      <c r="B85">
        <v>2009</v>
      </c>
      <c r="C85" s="5">
        <v>39936</v>
      </c>
      <c r="D85" t="s">
        <v>172</v>
      </c>
      <c r="E85" t="s">
        <v>35</v>
      </c>
      <c r="F85" t="s">
        <v>46</v>
      </c>
      <c r="G85" t="s">
        <v>35</v>
      </c>
      <c r="H85" t="s">
        <v>176</v>
      </c>
      <c r="I85" t="s">
        <v>174</v>
      </c>
      <c r="J85">
        <v>0</v>
      </c>
      <c r="K85" t="s">
        <v>46</v>
      </c>
      <c r="L85">
        <v>0</v>
      </c>
      <c r="M85">
        <v>9</v>
      </c>
      <c r="N85" t="s">
        <v>233</v>
      </c>
      <c r="O85" t="s">
        <v>100</v>
      </c>
      <c r="P85" t="str">
        <f>INDEX(Teams!$B:$B,MATCH(E85,Teams!$A:$A,0))</f>
        <v>Mumbai Indians</v>
      </c>
      <c r="Q85" t="str">
        <f>INDEX(Teams!$B:$B,MATCH(F85,Teams!$A:$A,0))</f>
        <v>Royal Challengers Bangalore</v>
      </c>
      <c r="R85" t="str">
        <f>INDEX(Teams!$B:$B,MATCH(G85,Teams!$A:$A,0))</f>
        <v>Mumbai Indians</v>
      </c>
      <c r="S85" t="str">
        <f>IF(K85="","No result",INDEX(Teams!$B:$B,MATCH(K85,Teams!$A:$A,0)))</f>
        <v>Royal Challengers Bangalore</v>
      </c>
      <c r="T85" t="str">
        <f>INDEX(Venues!$B:$B,MATCH(O85,Venues!$A:$A,0))</f>
        <v>New Wanderers Stadium</v>
      </c>
      <c r="U85" t="str">
        <f>INDEX(Venues!$C:$C,MATCH(O85,Venues!$A:$A,0))</f>
        <v>Johannesburg</v>
      </c>
      <c r="V85" t="str">
        <f>IF(L85&gt;0,L85&amp;" runs",IF(M85&gt;0,M85&amp;" wickets","-"))</f>
        <v>9 wickets</v>
      </c>
      <c r="W85">
        <f>IF(G85=K85,1,0)</f>
        <v>0</v>
      </c>
      <c r="X85">
        <f>IF(L85&gt;0,L85,"")</f>
        <v/>
      </c>
      <c r="Y85">
        <f>IF(X85="","",IF(X85&gt;Stats!$B$15,"Outlier",""))</f>
        <v/>
      </c>
      <c r="Z85" t="str">
        <f>P85&amp;" vs "&amp;Q85</f>
        <v>Mumbai Indians vs Royal Challengers Bangalore</v>
      </c>
    </row>
    <row r="86" spans="1:26" x14ac:dyDescent="0.25">
      <c r="A86">
        <v>144</v>
      </c>
      <c r="B86">
        <v>2009</v>
      </c>
      <c r="C86" s="5">
        <v>39937</v>
      </c>
      <c r="D86" t="s">
        <v>172</v>
      </c>
      <c r="E86" t="s">
        <v>12</v>
      </c>
      <c r="F86" t="s">
        <v>16</v>
      </c>
      <c r="G86" t="s">
        <v>12</v>
      </c>
      <c r="H86" t="s">
        <v>176</v>
      </c>
      <c r="I86" t="s">
        <v>174</v>
      </c>
      <c r="J86">
        <v>0</v>
      </c>
      <c r="K86" t="s">
        <v>12</v>
      </c>
      <c r="L86">
        <v>78</v>
      </c>
      <c r="M86">
        <v>0</v>
      </c>
      <c r="N86" t="s">
        <v>189</v>
      </c>
      <c r="O86" t="s">
        <v>59</v>
      </c>
      <c r="P86" t="str">
        <f>INDEX(Teams!$B:$B,MATCH(E86,Teams!$A:$A,0))</f>
        <v>Chennai Super Kings</v>
      </c>
      <c r="Q86" t="str">
        <f>INDEX(Teams!$B:$B,MATCH(F86,Teams!$A:$A,0))</f>
        <v>Deccan Chargers</v>
      </c>
      <c r="R86" t="str">
        <f>INDEX(Teams!$B:$B,MATCH(G86,Teams!$A:$A,0))</f>
        <v>Chennai Super Kings</v>
      </c>
      <c r="S86" t="str">
        <f>IF(K86="","No result",INDEX(Teams!$B:$B,MATCH(K86,Teams!$A:$A,0)))</f>
        <v>Chennai Super Kings</v>
      </c>
      <c r="T86" t="str">
        <f>INDEX(Venues!$B:$B,MATCH(O86,Venues!$A:$A,0))</f>
        <v>Buffalo Park</v>
      </c>
      <c r="U86" t="str">
        <f>INDEX(Venues!$C:$C,MATCH(O86,Venues!$A:$A,0))</f>
        <v>East London</v>
      </c>
      <c r="V86" t="str">
        <f>IF(L86&gt;0,L86&amp;" runs",IF(M86&gt;0,M86&amp;" wickets","-"))</f>
        <v>78 runs</v>
      </c>
      <c r="W86">
        <f>IF(G86=K86,1,0)</f>
        <v>1</v>
      </c>
      <c r="X86">
        <f>IF(L86&gt;0,L86,"")</f>
        <v>78</v>
      </c>
      <c r="Y86">
        <f>IF(X86="","",IF(X86&gt;Stats!$B$15,"Outlier",""))</f>
        <v/>
      </c>
      <c r="Z86" t="str">
        <f>P86&amp;" vs "&amp;Q86</f>
        <v>Chennai Super Kings vs Deccan Chargers</v>
      </c>
    </row>
    <row r="87" spans="1:26" x14ac:dyDescent="0.25">
      <c r="A87">
        <v>145</v>
      </c>
      <c r="B87">
        <v>2009</v>
      </c>
      <c r="C87" s="5">
        <v>39938</v>
      </c>
      <c r="D87" t="s">
        <v>172</v>
      </c>
      <c r="E87" t="s">
        <v>41</v>
      </c>
      <c r="F87" t="s">
        <v>26</v>
      </c>
      <c r="G87" t="s">
        <v>26</v>
      </c>
      <c r="H87" t="s">
        <v>173</v>
      </c>
      <c r="I87" t="s">
        <v>174</v>
      </c>
      <c r="J87">
        <v>0</v>
      </c>
      <c r="K87" t="s">
        <v>41</v>
      </c>
      <c r="L87">
        <v>78</v>
      </c>
      <c r="M87">
        <v>0</v>
      </c>
      <c r="N87" t="s">
        <v>205</v>
      </c>
      <c r="O87" t="s">
        <v>89</v>
      </c>
      <c r="P87" t="str">
        <f>INDEX(Teams!$B:$B,MATCH(E87,Teams!$A:$A,0))</f>
        <v>Rajasthan Royals</v>
      </c>
      <c r="Q87" t="str">
        <f>INDEX(Teams!$B:$B,MATCH(F87,Teams!$A:$A,0))</f>
        <v>Kings XI Punjab</v>
      </c>
      <c r="R87" t="str">
        <f>INDEX(Teams!$B:$B,MATCH(G87,Teams!$A:$A,0))</f>
        <v>Kings XI Punjab</v>
      </c>
      <c r="S87" t="str">
        <f>IF(K87="","No result",INDEX(Teams!$B:$B,MATCH(K87,Teams!$A:$A,0)))</f>
        <v>Rajasthan Royals</v>
      </c>
      <c r="T87" t="str">
        <f>INDEX(Venues!$B:$B,MATCH(O87,Venues!$A:$A,0))</f>
        <v>Kingsmead</v>
      </c>
      <c r="U87" t="str">
        <f>INDEX(Venues!$C:$C,MATCH(O87,Venues!$A:$A,0))</f>
        <v>Durban</v>
      </c>
      <c r="V87" t="str">
        <f>IF(L87&gt;0,L87&amp;" runs",IF(M87&gt;0,M87&amp;" wickets","-"))</f>
        <v>78 runs</v>
      </c>
      <c r="W87">
        <f>IF(G87=K87,1,0)</f>
        <v>0</v>
      </c>
      <c r="X87">
        <f>IF(L87&gt;0,L87,"")</f>
        <v>78</v>
      </c>
      <c r="Y87">
        <f>IF(X87="","",IF(X87&gt;Stats!$B$15,"Outlier",""))</f>
        <v/>
      </c>
      <c r="Z87" t="str">
        <f>P87&amp;" vs "&amp;Q87</f>
        <v>Rajasthan Royals vs Kings XI Punjab</v>
      </c>
    </row>
    <row r="88" spans="1:26" x14ac:dyDescent="0.25">
      <c r="A88">
        <v>146</v>
      </c>
      <c r="B88">
        <v>2009</v>
      </c>
      <c r="C88" s="5">
        <v>39938</v>
      </c>
      <c r="D88" t="s">
        <v>172</v>
      </c>
      <c r="E88" t="s">
        <v>32</v>
      </c>
      <c r="F88" t="s">
        <v>20</v>
      </c>
      <c r="G88" t="s">
        <v>32</v>
      </c>
      <c r="H88" t="s">
        <v>176</v>
      </c>
      <c r="I88" t="s">
        <v>174</v>
      </c>
      <c r="J88">
        <v>0</v>
      </c>
      <c r="K88" t="s">
        <v>20</v>
      </c>
      <c r="L88">
        <v>0</v>
      </c>
      <c r="M88">
        <v>9</v>
      </c>
      <c r="N88" t="s">
        <v>234</v>
      </c>
      <c r="O88" t="s">
        <v>89</v>
      </c>
      <c r="P88" t="str">
        <f>INDEX(Teams!$B:$B,MATCH(E88,Teams!$A:$A,0))</f>
        <v>Kolkata Knight Riders</v>
      </c>
      <c r="Q88" t="str">
        <f>INDEX(Teams!$B:$B,MATCH(F88,Teams!$A:$A,0))</f>
        <v>Delhi Capitals</v>
      </c>
      <c r="R88" t="str">
        <f>INDEX(Teams!$B:$B,MATCH(G88,Teams!$A:$A,0))</f>
        <v>Kolkata Knight Riders</v>
      </c>
      <c r="S88" t="str">
        <f>IF(K88="","No result",INDEX(Teams!$B:$B,MATCH(K88,Teams!$A:$A,0)))</f>
        <v>Delhi Capitals</v>
      </c>
      <c r="T88" t="str">
        <f>INDEX(Venues!$B:$B,MATCH(O88,Venues!$A:$A,0))</f>
        <v>Kingsmead</v>
      </c>
      <c r="U88" t="str">
        <f>INDEX(Venues!$C:$C,MATCH(O88,Venues!$A:$A,0))</f>
        <v>Durban</v>
      </c>
      <c r="V88" t="str">
        <f>IF(L88&gt;0,L88&amp;" runs",IF(M88&gt;0,M88&amp;" wickets","-"))</f>
        <v>9 wickets</v>
      </c>
      <c r="W88">
        <f>IF(G88=K88,1,0)</f>
        <v>0</v>
      </c>
      <c r="X88">
        <f>IF(L88&gt;0,L88,"")</f>
        <v/>
      </c>
      <c r="Y88">
        <f>IF(X88="","",IF(X88&gt;Stats!$B$15,"Outlier",""))</f>
        <v/>
      </c>
      <c r="Z88" t="str">
        <f>P88&amp;" vs "&amp;Q88</f>
        <v>Kolkata Knight Riders vs Delhi Capitals</v>
      </c>
    </row>
    <row r="89" spans="1:26" x14ac:dyDescent="0.25">
      <c r="A89">
        <v>147</v>
      </c>
      <c r="B89">
        <v>2009</v>
      </c>
      <c r="C89" s="5">
        <v>39939</v>
      </c>
      <c r="D89" t="s">
        <v>172</v>
      </c>
      <c r="E89" t="s">
        <v>16</v>
      </c>
      <c r="F89" t="s">
        <v>35</v>
      </c>
      <c r="G89" t="s">
        <v>16</v>
      </c>
      <c r="H89" t="s">
        <v>176</v>
      </c>
      <c r="I89" t="s">
        <v>174</v>
      </c>
      <c r="J89">
        <v>0</v>
      </c>
      <c r="K89" t="s">
        <v>16</v>
      </c>
      <c r="L89">
        <v>19</v>
      </c>
      <c r="M89">
        <v>0</v>
      </c>
      <c r="N89" t="s">
        <v>235</v>
      </c>
      <c r="O89" t="s">
        <v>132</v>
      </c>
      <c r="P89" t="str">
        <f>INDEX(Teams!$B:$B,MATCH(E89,Teams!$A:$A,0))</f>
        <v>Deccan Chargers</v>
      </c>
      <c r="Q89" t="str">
        <f>INDEX(Teams!$B:$B,MATCH(F89,Teams!$A:$A,0))</f>
        <v>Mumbai Indians</v>
      </c>
      <c r="R89" t="str">
        <f>INDEX(Teams!$B:$B,MATCH(G89,Teams!$A:$A,0))</f>
        <v>Deccan Chargers</v>
      </c>
      <c r="S89" t="str">
        <f>IF(K89="","No result",INDEX(Teams!$B:$B,MATCH(K89,Teams!$A:$A,0)))</f>
        <v>Deccan Chargers</v>
      </c>
      <c r="T89" t="str">
        <f>INDEX(Venues!$B:$B,MATCH(O89,Venues!$A:$A,0))</f>
        <v>SuperSport Park</v>
      </c>
      <c r="U89" t="str">
        <f>INDEX(Venues!$C:$C,MATCH(O89,Venues!$A:$A,0))</f>
        <v>Centurion</v>
      </c>
      <c r="V89" t="str">
        <f>IF(L89&gt;0,L89&amp;" runs",IF(M89&gt;0,M89&amp;" wickets","-"))</f>
        <v>19 runs</v>
      </c>
      <c r="W89">
        <f>IF(G89=K89,1,0)</f>
        <v>1</v>
      </c>
      <c r="X89">
        <f>IF(L89&gt;0,L89,"")</f>
        <v>19</v>
      </c>
      <c r="Y89">
        <f>IF(X89="","",IF(X89&gt;Stats!$B$15,"Outlier",""))</f>
        <v/>
      </c>
      <c r="Z89" t="str">
        <f>P89&amp;" vs "&amp;Q89</f>
        <v>Deccan Chargers vs Mumbai Indians</v>
      </c>
    </row>
    <row r="90" spans="1:26" x14ac:dyDescent="0.25">
      <c r="A90">
        <v>148</v>
      </c>
      <c r="B90">
        <v>2009</v>
      </c>
      <c r="C90" s="5">
        <v>39940</v>
      </c>
      <c r="D90" t="s">
        <v>172</v>
      </c>
      <c r="E90" t="s">
        <v>46</v>
      </c>
      <c r="F90" t="s">
        <v>41</v>
      </c>
      <c r="G90" t="s">
        <v>41</v>
      </c>
      <c r="H90" t="s">
        <v>173</v>
      </c>
      <c r="I90" t="s">
        <v>174</v>
      </c>
      <c r="J90">
        <v>0</v>
      </c>
      <c r="K90" t="s">
        <v>41</v>
      </c>
      <c r="L90">
        <v>0</v>
      </c>
      <c r="M90">
        <v>7</v>
      </c>
      <c r="N90" t="s">
        <v>236</v>
      </c>
      <c r="O90" t="s">
        <v>132</v>
      </c>
      <c r="P90" t="str">
        <f>INDEX(Teams!$B:$B,MATCH(E90,Teams!$A:$A,0))</f>
        <v>Royal Challengers Bangalore</v>
      </c>
      <c r="Q90" t="str">
        <f>INDEX(Teams!$B:$B,MATCH(F90,Teams!$A:$A,0))</f>
        <v>Rajasthan Royals</v>
      </c>
      <c r="R90" t="str">
        <f>INDEX(Teams!$B:$B,MATCH(G90,Teams!$A:$A,0))</f>
        <v>Rajasthan Royals</v>
      </c>
      <c r="S90" t="str">
        <f>IF(K90="","No result",INDEX(Teams!$B:$B,MATCH(K90,Teams!$A:$A,0)))</f>
        <v>Rajasthan Royals</v>
      </c>
      <c r="T90" t="str">
        <f>INDEX(Venues!$B:$B,MATCH(O90,Venues!$A:$A,0))</f>
        <v>SuperSport Park</v>
      </c>
      <c r="U90" t="str">
        <f>INDEX(Venues!$C:$C,MATCH(O90,Venues!$A:$A,0))</f>
        <v>Centurion</v>
      </c>
      <c r="V90" t="str">
        <f>IF(L90&gt;0,L90&amp;" runs",IF(M90&gt;0,M90&amp;" wickets","-"))</f>
        <v>7 wickets</v>
      </c>
      <c r="W90">
        <f>IF(G90=K90,1,0)</f>
        <v>1</v>
      </c>
      <c r="X90">
        <f>IF(L90&gt;0,L90,"")</f>
        <v/>
      </c>
      <c r="Y90">
        <f>IF(X90="","",IF(X90&gt;Stats!$B$15,"Outlier",""))</f>
        <v/>
      </c>
      <c r="Z90" t="str">
        <f>P90&amp;" vs "&amp;Q90</f>
        <v>Royal Challengers Bangalore vs Rajasthan Royals</v>
      </c>
    </row>
    <row r="91" spans="1:26" x14ac:dyDescent="0.25">
      <c r="A91">
        <v>149</v>
      </c>
      <c r="B91">
        <v>2009</v>
      </c>
      <c r="C91" s="5">
        <v>39940</v>
      </c>
      <c r="D91" t="s">
        <v>172</v>
      </c>
      <c r="E91" t="s">
        <v>12</v>
      </c>
      <c r="F91" t="s">
        <v>26</v>
      </c>
      <c r="G91" t="s">
        <v>12</v>
      </c>
      <c r="H91" t="s">
        <v>176</v>
      </c>
      <c r="I91" t="s">
        <v>174</v>
      </c>
      <c r="J91">
        <v>1</v>
      </c>
      <c r="K91" t="s">
        <v>12</v>
      </c>
      <c r="L91">
        <v>12</v>
      </c>
      <c r="M91">
        <v>0</v>
      </c>
      <c r="N91" t="s">
        <v>183</v>
      </c>
      <c r="O91" t="s">
        <v>132</v>
      </c>
      <c r="P91" t="str">
        <f>INDEX(Teams!$B:$B,MATCH(E91,Teams!$A:$A,0))</f>
        <v>Chennai Super Kings</v>
      </c>
      <c r="Q91" t="str">
        <f>INDEX(Teams!$B:$B,MATCH(F91,Teams!$A:$A,0))</f>
        <v>Kings XI Punjab</v>
      </c>
      <c r="R91" t="str">
        <f>INDEX(Teams!$B:$B,MATCH(G91,Teams!$A:$A,0))</f>
        <v>Chennai Super Kings</v>
      </c>
      <c r="S91" t="str">
        <f>IF(K91="","No result",INDEX(Teams!$B:$B,MATCH(K91,Teams!$A:$A,0)))</f>
        <v>Chennai Super Kings</v>
      </c>
      <c r="T91" t="str">
        <f>INDEX(Venues!$B:$B,MATCH(O91,Venues!$A:$A,0))</f>
        <v>SuperSport Park</v>
      </c>
      <c r="U91" t="str">
        <f>INDEX(Venues!$C:$C,MATCH(O91,Venues!$A:$A,0))</f>
        <v>Centurion</v>
      </c>
      <c r="V91" t="str">
        <f>IF(L91&gt;0,L91&amp;" runs",IF(M91&gt;0,M91&amp;" wickets","-"))</f>
        <v>12 runs</v>
      </c>
      <c r="W91">
        <f>IF(G91=K91,1,0)</f>
        <v>1</v>
      </c>
      <c r="X91">
        <f>IF(L91&gt;0,L91,"")</f>
        <v>12</v>
      </c>
      <c r="Y91">
        <f>IF(X91="","",IF(X91&gt;Stats!$B$15,"Outlier",""))</f>
        <v/>
      </c>
      <c r="Z91" t="str">
        <f>P91&amp;" vs "&amp;Q91</f>
        <v>Chennai Super Kings vs Kings XI Punjab</v>
      </c>
    </row>
    <row r="92" spans="1:26" x14ac:dyDescent="0.25">
      <c r="A92">
        <v>150</v>
      </c>
      <c r="B92">
        <v>2009</v>
      </c>
      <c r="C92" s="5">
        <v>39941</v>
      </c>
      <c r="D92" t="s">
        <v>172</v>
      </c>
      <c r="E92" t="s">
        <v>35</v>
      </c>
      <c r="F92" t="s">
        <v>20</v>
      </c>
      <c r="G92" t="s">
        <v>35</v>
      </c>
      <c r="H92" t="s">
        <v>176</v>
      </c>
      <c r="I92" t="s">
        <v>174</v>
      </c>
      <c r="J92">
        <v>0</v>
      </c>
      <c r="K92" t="s">
        <v>20</v>
      </c>
      <c r="L92">
        <v>0</v>
      </c>
      <c r="M92">
        <v>7</v>
      </c>
      <c r="N92" t="s">
        <v>199</v>
      </c>
      <c r="O92" t="s">
        <v>59</v>
      </c>
      <c r="P92" t="str">
        <f>INDEX(Teams!$B:$B,MATCH(E92,Teams!$A:$A,0))</f>
        <v>Mumbai Indians</v>
      </c>
      <c r="Q92" t="str">
        <f>INDEX(Teams!$B:$B,MATCH(F92,Teams!$A:$A,0))</f>
        <v>Delhi Capitals</v>
      </c>
      <c r="R92" t="str">
        <f>INDEX(Teams!$B:$B,MATCH(G92,Teams!$A:$A,0))</f>
        <v>Mumbai Indians</v>
      </c>
      <c r="S92" t="str">
        <f>IF(K92="","No result",INDEX(Teams!$B:$B,MATCH(K92,Teams!$A:$A,0)))</f>
        <v>Delhi Capitals</v>
      </c>
      <c r="T92" t="str">
        <f>INDEX(Venues!$B:$B,MATCH(O92,Venues!$A:$A,0))</f>
        <v>Buffalo Park</v>
      </c>
      <c r="U92" t="str">
        <f>INDEX(Venues!$C:$C,MATCH(O92,Venues!$A:$A,0))</f>
        <v>East London</v>
      </c>
      <c r="V92" t="str">
        <f>IF(L92&gt;0,L92&amp;" runs",IF(M92&gt;0,M92&amp;" wickets","-"))</f>
        <v>7 wickets</v>
      </c>
      <c r="W92">
        <f>IF(G92=K92,1,0)</f>
        <v>0</v>
      </c>
      <c r="X92">
        <f>IF(L92&gt;0,L92,"")</f>
        <v/>
      </c>
      <c r="Y92">
        <f>IF(X92="","",IF(X92&gt;Stats!$B$15,"Outlier",""))</f>
        <v/>
      </c>
      <c r="Z92" t="str">
        <f>P92&amp;" vs "&amp;Q92</f>
        <v>Mumbai Indians vs Delhi Capitals</v>
      </c>
    </row>
    <row r="93" spans="1:26" x14ac:dyDescent="0.25">
      <c r="A93">
        <v>151</v>
      </c>
      <c r="B93">
        <v>2009</v>
      </c>
      <c r="C93" s="5">
        <v>39942</v>
      </c>
      <c r="D93" t="s">
        <v>172</v>
      </c>
      <c r="E93" t="s">
        <v>16</v>
      </c>
      <c r="F93" t="s">
        <v>26</v>
      </c>
      <c r="G93" t="s">
        <v>26</v>
      </c>
      <c r="H93" t="s">
        <v>173</v>
      </c>
      <c r="I93" t="s">
        <v>174</v>
      </c>
      <c r="J93">
        <v>0</v>
      </c>
      <c r="K93" t="s">
        <v>26</v>
      </c>
      <c r="L93">
        <v>0</v>
      </c>
      <c r="M93">
        <v>3</v>
      </c>
      <c r="N93" t="s">
        <v>204</v>
      </c>
      <c r="O93" t="s">
        <v>62</v>
      </c>
      <c r="P93" t="str">
        <f>INDEX(Teams!$B:$B,MATCH(E93,Teams!$A:$A,0))</f>
        <v>Deccan Chargers</v>
      </c>
      <c r="Q93" t="str">
        <f>INDEX(Teams!$B:$B,MATCH(F93,Teams!$A:$A,0))</f>
        <v>Kings XI Punjab</v>
      </c>
      <c r="R93" t="str">
        <f>INDEX(Teams!$B:$B,MATCH(G93,Teams!$A:$A,0))</f>
        <v>Kings XI Punjab</v>
      </c>
      <c r="S93" t="str">
        <f>IF(K93="","No result",INDEX(Teams!$B:$B,MATCH(K93,Teams!$A:$A,0)))</f>
        <v>Kings XI Punjab</v>
      </c>
      <c r="T93" t="str">
        <f>INDEX(Venues!$B:$B,MATCH(O93,Venues!$A:$A,0))</f>
        <v>De Beers Diamond Oval</v>
      </c>
      <c r="U93" t="str">
        <f>INDEX(Venues!$C:$C,MATCH(O93,Venues!$A:$A,0))</f>
        <v>Kimberley</v>
      </c>
      <c r="V93" t="str">
        <f>IF(L93&gt;0,L93&amp;" runs",IF(M93&gt;0,M93&amp;" wickets","-"))</f>
        <v>3 wickets</v>
      </c>
      <c r="W93">
        <f>IF(G93=K93,1,0)</f>
        <v>1</v>
      </c>
      <c r="X93">
        <f>IF(L93&gt;0,L93,"")</f>
        <v/>
      </c>
      <c r="Y93">
        <f>IF(X93="","",IF(X93&gt;Stats!$B$15,"Outlier",""))</f>
        <v/>
      </c>
      <c r="Z93" t="str">
        <f>P93&amp;" vs "&amp;Q93</f>
        <v>Deccan Chargers vs Kings XI Punjab</v>
      </c>
    </row>
    <row r="94" spans="1:26" x14ac:dyDescent="0.25">
      <c r="A94">
        <v>152</v>
      </c>
      <c r="B94">
        <v>2009</v>
      </c>
      <c r="C94" s="5">
        <v>39942</v>
      </c>
      <c r="D94" t="s">
        <v>172</v>
      </c>
      <c r="E94" t="s">
        <v>41</v>
      </c>
      <c r="F94" t="s">
        <v>12</v>
      </c>
      <c r="G94" t="s">
        <v>41</v>
      </c>
      <c r="H94" t="s">
        <v>176</v>
      </c>
      <c r="I94" t="s">
        <v>174</v>
      </c>
      <c r="J94">
        <v>0</v>
      </c>
      <c r="K94" t="s">
        <v>12</v>
      </c>
      <c r="L94">
        <v>0</v>
      </c>
      <c r="M94">
        <v>7</v>
      </c>
      <c r="N94" t="s">
        <v>237</v>
      </c>
      <c r="O94" t="s">
        <v>62</v>
      </c>
      <c r="P94" t="str">
        <f>INDEX(Teams!$B:$B,MATCH(E94,Teams!$A:$A,0))</f>
        <v>Rajasthan Royals</v>
      </c>
      <c r="Q94" t="str">
        <f>INDEX(Teams!$B:$B,MATCH(F94,Teams!$A:$A,0))</f>
        <v>Chennai Super Kings</v>
      </c>
      <c r="R94" t="str">
        <f>INDEX(Teams!$B:$B,MATCH(G94,Teams!$A:$A,0))</f>
        <v>Rajasthan Royals</v>
      </c>
      <c r="S94" t="str">
        <f>IF(K94="","No result",INDEX(Teams!$B:$B,MATCH(K94,Teams!$A:$A,0)))</f>
        <v>Chennai Super Kings</v>
      </c>
      <c r="T94" t="str">
        <f>INDEX(Venues!$B:$B,MATCH(O94,Venues!$A:$A,0))</f>
        <v>De Beers Diamond Oval</v>
      </c>
      <c r="U94" t="str">
        <f>INDEX(Venues!$C:$C,MATCH(O94,Venues!$A:$A,0))</f>
        <v>Kimberley</v>
      </c>
      <c r="V94" t="str">
        <f>IF(L94&gt;0,L94&amp;" runs",IF(M94&gt;0,M94&amp;" wickets","-"))</f>
        <v>7 wickets</v>
      </c>
      <c r="W94">
        <f>IF(G94=K94,1,0)</f>
        <v>0</v>
      </c>
      <c r="X94">
        <f>IF(L94&gt;0,L94,"")</f>
        <v/>
      </c>
      <c r="Y94">
        <f>IF(X94="","",IF(X94&gt;Stats!$B$15,"Outlier",""))</f>
        <v/>
      </c>
      <c r="Z94" t="str">
        <f>P94&amp;" vs "&amp;Q94</f>
        <v>Rajasthan Royals vs Chennai Super Kings</v>
      </c>
    </row>
    <row r="95" spans="1:26" x14ac:dyDescent="0.25">
      <c r="A95">
        <v>153</v>
      </c>
      <c r="B95">
        <v>2009</v>
      </c>
      <c r="C95" s="5">
        <v>39943</v>
      </c>
      <c r="D95" t="s">
        <v>172</v>
      </c>
      <c r="E95" t="s">
        <v>35</v>
      </c>
      <c r="F95" t="s">
        <v>46</v>
      </c>
      <c r="G95" t="s">
        <v>35</v>
      </c>
      <c r="H95" t="s">
        <v>176</v>
      </c>
      <c r="I95" t="s">
        <v>174</v>
      </c>
      <c r="J95">
        <v>0</v>
      </c>
      <c r="K95" t="s">
        <v>35</v>
      </c>
      <c r="L95">
        <v>16</v>
      </c>
      <c r="M95">
        <v>0</v>
      </c>
      <c r="N95" t="s">
        <v>230</v>
      </c>
      <c r="O95" t="s">
        <v>129</v>
      </c>
      <c r="P95" t="str">
        <f>INDEX(Teams!$B:$B,MATCH(E95,Teams!$A:$A,0))</f>
        <v>Mumbai Indians</v>
      </c>
      <c r="Q95" t="str">
        <f>INDEX(Teams!$B:$B,MATCH(F95,Teams!$A:$A,0))</f>
        <v>Royal Challengers Bangalore</v>
      </c>
      <c r="R95" t="str">
        <f>INDEX(Teams!$B:$B,MATCH(G95,Teams!$A:$A,0))</f>
        <v>Mumbai Indians</v>
      </c>
      <c r="S95" t="str">
        <f>IF(K95="","No result",INDEX(Teams!$B:$B,MATCH(K95,Teams!$A:$A,0)))</f>
        <v>Mumbai Indians</v>
      </c>
      <c r="T95" t="str">
        <f>INDEX(Venues!$B:$B,MATCH(O95,Venues!$A:$A,0))</f>
        <v>St George's Park</v>
      </c>
      <c r="U95" t="str">
        <f>INDEX(Venues!$C:$C,MATCH(O95,Venues!$A:$A,0))</f>
        <v>Port Elizabeth</v>
      </c>
      <c r="V95" t="str">
        <f>IF(L95&gt;0,L95&amp;" runs",IF(M95&gt;0,M95&amp;" wickets","-"))</f>
        <v>16 runs</v>
      </c>
      <c r="W95">
        <f>IF(G95=K95,1,0)</f>
        <v>1</v>
      </c>
      <c r="X95">
        <f>IF(L95&gt;0,L95,"")</f>
        <v>16</v>
      </c>
      <c r="Y95">
        <f>IF(X95="","",IF(X95&gt;Stats!$B$15,"Outlier",""))</f>
        <v/>
      </c>
      <c r="Z95" t="str">
        <f>P95&amp;" vs "&amp;Q95</f>
        <v>Mumbai Indians vs Royal Challengers Bangalore</v>
      </c>
    </row>
    <row r="96" spans="1:26" x14ac:dyDescent="0.25">
      <c r="A96">
        <v>154</v>
      </c>
      <c r="B96">
        <v>2009</v>
      </c>
      <c r="C96" s="5">
        <v>39943</v>
      </c>
      <c r="D96" t="s">
        <v>172</v>
      </c>
      <c r="E96" t="s">
        <v>32</v>
      </c>
      <c r="F96" t="s">
        <v>20</v>
      </c>
      <c r="G96" t="s">
        <v>20</v>
      </c>
      <c r="H96" t="s">
        <v>173</v>
      </c>
      <c r="I96" t="s">
        <v>174</v>
      </c>
      <c r="J96">
        <v>0</v>
      </c>
      <c r="K96" t="s">
        <v>20</v>
      </c>
      <c r="L96">
        <v>0</v>
      </c>
      <c r="M96">
        <v>7</v>
      </c>
      <c r="N96" t="s">
        <v>203</v>
      </c>
      <c r="O96" t="s">
        <v>100</v>
      </c>
      <c r="P96" t="str">
        <f>INDEX(Teams!$B:$B,MATCH(E96,Teams!$A:$A,0))</f>
        <v>Kolkata Knight Riders</v>
      </c>
      <c r="Q96" t="str">
        <f>INDEX(Teams!$B:$B,MATCH(F96,Teams!$A:$A,0))</f>
        <v>Delhi Capitals</v>
      </c>
      <c r="R96" t="str">
        <f>INDEX(Teams!$B:$B,MATCH(G96,Teams!$A:$A,0))</f>
        <v>Delhi Capitals</v>
      </c>
      <c r="S96" t="str">
        <f>IF(K96="","No result",INDEX(Teams!$B:$B,MATCH(K96,Teams!$A:$A,0)))</f>
        <v>Delhi Capitals</v>
      </c>
      <c r="T96" t="str">
        <f>INDEX(Venues!$B:$B,MATCH(O96,Venues!$A:$A,0))</f>
        <v>New Wanderers Stadium</v>
      </c>
      <c r="U96" t="str">
        <f>INDEX(Venues!$C:$C,MATCH(O96,Venues!$A:$A,0))</f>
        <v>Johannesburg</v>
      </c>
      <c r="V96" t="str">
        <f>IF(L96&gt;0,L96&amp;" runs",IF(M96&gt;0,M96&amp;" wickets","-"))</f>
        <v>7 wickets</v>
      </c>
      <c r="W96">
        <f>IF(G96=K96,1,0)</f>
        <v>1</v>
      </c>
      <c r="X96">
        <f>IF(L96&gt;0,L96,"")</f>
        <v/>
      </c>
      <c r="Y96">
        <f>IF(X96="","",IF(X96&gt;Stats!$B$15,"Outlier",""))</f>
        <v/>
      </c>
      <c r="Z96" t="str">
        <f>P96&amp;" vs "&amp;Q96</f>
        <v>Kolkata Knight Riders vs Delhi Capitals</v>
      </c>
    </row>
    <row r="97" spans="1:26" x14ac:dyDescent="0.25">
      <c r="A97">
        <v>155</v>
      </c>
      <c r="B97">
        <v>2009</v>
      </c>
      <c r="C97" s="5">
        <v>39944</v>
      </c>
      <c r="D97" t="s">
        <v>172</v>
      </c>
      <c r="E97" t="s">
        <v>16</v>
      </c>
      <c r="F97" t="s">
        <v>41</v>
      </c>
      <c r="G97" t="s">
        <v>16</v>
      </c>
      <c r="H97" t="s">
        <v>176</v>
      </c>
      <c r="I97" t="s">
        <v>174</v>
      </c>
      <c r="J97">
        <v>0</v>
      </c>
      <c r="K97" t="s">
        <v>16</v>
      </c>
      <c r="L97">
        <v>53</v>
      </c>
      <c r="M97">
        <v>0</v>
      </c>
      <c r="N97" t="s">
        <v>238</v>
      </c>
      <c r="O97" t="s">
        <v>62</v>
      </c>
      <c r="P97" t="str">
        <f>INDEX(Teams!$B:$B,MATCH(E97,Teams!$A:$A,0))</f>
        <v>Deccan Chargers</v>
      </c>
      <c r="Q97" t="str">
        <f>INDEX(Teams!$B:$B,MATCH(F97,Teams!$A:$A,0))</f>
        <v>Rajasthan Royals</v>
      </c>
      <c r="R97" t="str">
        <f>INDEX(Teams!$B:$B,MATCH(G97,Teams!$A:$A,0))</f>
        <v>Deccan Chargers</v>
      </c>
      <c r="S97" t="str">
        <f>IF(K97="","No result",INDEX(Teams!$B:$B,MATCH(K97,Teams!$A:$A,0)))</f>
        <v>Deccan Chargers</v>
      </c>
      <c r="T97" t="str">
        <f>INDEX(Venues!$B:$B,MATCH(O97,Venues!$A:$A,0))</f>
        <v>De Beers Diamond Oval</v>
      </c>
      <c r="U97" t="str">
        <f>INDEX(Venues!$C:$C,MATCH(O97,Venues!$A:$A,0))</f>
        <v>Kimberley</v>
      </c>
      <c r="V97" t="str">
        <f>IF(L97&gt;0,L97&amp;" runs",IF(M97&gt;0,M97&amp;" wickets","-"))</f>
        <v>53 runs</v>
      </c>
      <c r="W97">
        <f>IF(G97=K97,1,0)</f>
        <v>1</v>
      </c>
      <c r="X97">
        <f>IF(L97&gt;0,L97,"")</f>
        <v>53</v>
      </c>
      <c r="Y97">
        <f>IF(X97="","",IF(X97&gt;Stats!$B$15,"Outlier",""))</f>
        <v/>
      </c>
      <c r="Z97" t="str">
        <f>P97&amp;" vs "&amp;Q97</f>
        <v>Deccan Chargers vs Rajasthan Royals</v>
      </c>
    </row>
    <row r="98" spans="1:26" x14ac:dyDescent="0.25">
      <c r="A98">
        <v>156</v>
      </c>
      <c r="B98">
        <v>2009</v>
      </c>
      <c r="C98" s="5">
        <v>39945</v>
      </c>
      <c r="D98" t="s">
        <v>172</v>
      </c>
      <c r="E98" t="s">
        <v>32</v>
      </c>
      <c r="F98" t="s">
        <v>46</v>
      </c>
      <c r="G98" t="s">
        <v>46</v>
      </c>
      <c r="H98" t="s">
        <v>173</v>
      </c>
      <c r="I98" t="s">
        <v>174</v>
      </c>
      <c r="J98">
        <v>0</v>
      </c>
      <c r="K98" t="s">
        <v>46</v>
      </c>
      <c r="L98">
        <v>0</v>
      </c>
      <c r="M98">
        <v>6</v>
      </c>
      <c r="N98" t="s">
        <v>239</v>
      </c>
      <c r="O98" t="s">
        <v>132</v>
      </c>
      <c r="P98" t="str">
        <f>INDEX(Teams!$B:$B,MATCH(E98,Teams!$A:$A,0))</f>
        <v>Kolkata Knight Riders</v>
      </c>
      <c r="Q98" t="str">
        <f>INDEX(Teams!$B:$B,MATCH(F98,Teams!$A:$A,0))</f>
        <v>Royal Challengers Bangalore</v>
      </c>
      <c r="R98" t="str">
        <f>INDEX(Teams!$B:$B,MATCH(G98,Teams!$A:$A,0))</f>
        <v>Royal Challengers Bangalore</v>
      </c>
      <c r="S98" t="str">
        <f>IF(K98="","No result",INDEX(Teams!$B:$B,MATCH(K98,Teams!$A:$A,0)))</f>
        <v>Royal Challengers Bangalore</v>
      </c>
      <c r="T98" t="str">
        <f>INDEX(Venues!$B:$B,MATCH(O98,Venues!$A:$A,0))</f>
        <v>SuperSport Park</v>
      </c>
      <c r="U98" t="str">
        <f>INDEX(Venues!$C:$C,MATCH(O98,Venues!$A:$A,0))</f>
        <v>Centurion</v>
      </c>
      <c r="V98" t="str">
        <f>IF(L98&gt;0,L98&amp;" runs",IF(M98&gt;0,M98&amp;" wickets","-"))</f>
        <v>6 wickets</v>
      </c>
      <c r="W98">
        <f>IF(G98=K98,1,0)</f>
        <v>1</v>
      </c>
      <c r="X98">
        <f>IF(L98&gt;0,L98,"")</f>
        <v/>
      </c>
      <c r="Y98">
        <f>IF(X98="","",IF(X98&gt;Stats!$B$15,"Outlier",""))</f>
        <v/>
      </c>
      <c r="Z98" t="str">
        <f>P98&amp;" vs "&amp;Q98</f>
        <v>Kolkata Knight Riders vs Royal Challengers Bangalore</v>
      </c>
    </row>
    <row r="99" spans="1:26" x14ac:dyDescent="0.25">
      <c r="A99">
        <v>157</v>
      </c>
      <c r="B99">
        <v>2009</v>
      </c>
      <c r="C99" s="5">
        <v>39945</v>
      </c>
      <c r="D99" t="s">
        <v>172</v>
      </c>
      <c r="E99" t="s">
        <v>26</v>
      </c>
      <c r="F99" t="s">
        <v>35</v>
      </c>
      <c r="G99" t="s">
        <v>26</v>
      </c>
      <c r="H99" t="s">
        <v>176</v>
      </c>
      <c r="I99" t="s">
        <v>174</v>
      </c>
      <c r="J99">
        <v>0</v>
      </c>
      <c r="K99" t="s">
        <v>35</v>
      </c>
      <c r="L99">
        <v>0</v>
      </c>
      <c r="M99">
        <v>8</v>
      </c>
      <c r="N99" t="s">
        <v>240</v>
      </c>
      <c r="O99" t="s">
        <v>132</v>
      </c>
      <c r="P99" t="str">
        <f>INDEX(Teams!$B:$B,MATCH(E99,Teams!$A:$A,0))</f>
        <v>Kings XI Punjab</v>
      </c>
      <c r="Q99" t="str">
        <f>INDEX(Teams!$B:$B,MATCH(F99,Teams!$A:$A,0))</f>
        <v>Mumbai Indians</v>
      </c>
      <c r="R99" t="str">
        <f>INDEX(Teams!$B:$B,MATCH(G99,Teams!$A:$A,0))</f>
        <v>Kings XI Punjab</v>
      </c>
      <c r="S99" t="str">
        <f>IF(K99="","No result",INDEX(Teams!$B:$B,MATCH(K99,Teams!$A:$A,0)))</f>
        <v>Mumbai Indians</v>
      </c>
      <c r="T99" t="str">
        <f>INDEX(Venues!$B:$B,MATCH(O99,Venues!$A:$A,0))</f>
        <v>SuperSport Park</v>
      </c>
      <c r="U99" t="str">
        <f>INDEX(Venues!$C:$C,MATCH(O99,Venues!$A:$A,0))</f>
        <v>Centurion</v>
      </c>
      <c r="V99" t="str">
        <f>IF(L99&gt;0,L99&amp;" runs",IF(M99&gt;0,M99&amp;" wickets","-"))</f>
        <v>8 wickets</v>
      </c>
      <c r="W99">
        <f>IF(G99=K99,1,0)</f>
        <v>0</v>
      </c>
      <c r="X99">
        <f>IF(L99&gt;0,L99,"")</f>
        <v/>
      </c>
      <c r="Y99">
        <f>IF(X99="","",IF(X99&gt;Stats!$B$15,"Outlier",""))</f>
        <v/>
      </c>
      <c r="Z99" t="str">
        <f>P99&amp;" vs "&amp;Q99</f>
        <v>Kings XI Punjab vs Mumbai Indians</v>
      </c>
    </row>
    <row r="100" spans="1:26" x14ac:dyDescent="0.25">
      <c r="A100">
        <v>158</v>
      </c>
      <c r="B100">
        <v>2009</v>
      </c>
      <c r="C100" s="5">
        <v>39946</v>
      </c>
      <c r="D100" t="s">
        <v>172</v>
      </c>
      <c r="E100" t="s">
        <v>20</v>
      </c>
      <c r="F100" t="s">
        <v>16</v>
      </c>
      <c r="G100" t="s">
        <v>16</v>
      </c>
      <c r="H100" t="s">
        <v>173</v>
      </c>
      <c r="I100" t="s">
        <v>174</v>
      </c>
      <c r="J100">
        <v>0</v>
      </c>
      <c r="K100" t="s">
        <v>20</v>
      </c>
      <c r="L100">
        <v>12</v>
      </c>
      <c r="M100">
        <v>0</v>
      </c>
      <c r="N100" t="s">
        <v>241</v>
      </c>
      <c r="O100" t="s">
        <v>89</v>
      </c>
      <c r="P100" t="str">
        <f>INDEX(Teams!$B:$B,MATCH(E100,Teams!$A:$A,0))</f>
        <v>Delhi Capitals</v>
      </c>
      <c r="Q100" t="str">
        <f>INDEX(Teams!$B:$B,MATCH(F100,Teams!$A:$A,0))</f>
        <v>Deccan Chargers</v>
      </c>
      <c r="R100" t="str">
        <f>INDEX(Teams!$B:$B,MATCH(G100,Teams!$A:$A,0))</f>
        <v>Deccan Chargers</v>
      </c>
      <c r="S100" t="str">
        <f>IF(K100="","No result",INDEX(Teams!$B:$B,MATCH(K100,Teams!$A:$A,0)))</f>
        <v>Delhi Capitals</v>
      </c>
      <c r="T100" t="str">
        <f>INDEX(Venues!$B:$B,MATCH(O100,Venues!$A:$A,0))</f>
        <v>Kingsmead</v>
      </c>
      <c r="U100" t="str">
        <f>INDEX(Venues!$C:$C,MATCH(O100,Venues!$A:$A,0))</f>
        <v>Durban</v>
      </c>
      <c r="V100" t="str">
        <f>IF(L100&gt;0,L100&amp;" runs",IF(M100&gt;0,M100&amp;" wickets","-"))</f>
        <v>12 runs</v>
      </c>
      <c r="W100">
        <f>IF(G100=K100,1,0)</f>
        <v>0</v>
      </c>
      <c r="X100">
        <f>IF(L100&gt;0,L100,"")</f>
        <v>12</v>
      </c>
      <c r="Y100">
        <f>IF(X100="","",IF(X100&gt;Stats!$B$15,"Outlier",""))</f>
        <v/>
      </c>
      <c r="Z100" t="str">
        <f>P100&amp;" vs "&amp;Q100</f>
        <v>Delhi Capitals vs Deccan Chargers</v>
      </c>
    </row>
    <row r="101" spans="1:26" x14ac:dyDescent="0.25">
      <c r="A101">
        <v>159</v>
      </c>
      <c r="B101">
        <v>2009</v>
      </c>
      <c r="C101" s="5">
        <v>39947</v>
      </c>
      <c r="D101" t="s">
        <v>172</v>
      </c>
      <c r="E101" t="s">
        <v>12</v>
      </c>
      <c r="F101" t="s">
        <v>46</v>
      </c>
      <c r="G101" t="s">
        <v>12</v>
      </c>
      <c r="H101" t="s">
        <v>176</v>
      </c>
      <c r="I101" t="s">
        <v>174</v>
      </c>
      <c r="J101">
        <v>0</v>
      </c>
      <c r="K101" t="s">
        <v>46</v>
      </c>
      <c r="L101">
        <v>0</v>
      </c>
      <c r="M101">
        <v>2</v>
      </c>
      <c r="N101" t="s">
        <v>239</v>
      </c>
      <c r="O101" t="s">
        <v>89</v>
      </c>
      <c r="P101" t="str">
        <f>INDEX(Teams!$B:$B,MATCH(E101,Teams!$A:$A,0))</f>
        <v>Chennai Super Kings</v>
      </c>
      <c r="Q101" t="str">
        <f>INDEX(Teams!$B:$B,MATCH(F101,Teams!$A:$A,0))</f>
        <v>Royal Challengers Bangalore</v>
      </c>
      <c r="R101" t="str">
        <f>INDEX(Teams!$B:$B,MATCH(G101,Teams!$A:$A,0))</f>
        <v>Chennai Super Kings</v>
      </c>
      <c r="S101" t="str">
        <f>IF(K101="","No result",INDEX(Teams!$B:$B,MATCH(K101,Teams!$A:$A,0)))</f>
        <v>Royal Challengers Bangalore</v>
      </c>
      <c r="T101" t="str">
        <f>INDEX(Venues!$B:$B,MATCH(O101,Venues!$A:$A,0))</f>
        <v>Kingsmead</v>
      </c>
      <c r="U101" t="str">
        <f>INDEX(Venues!$C:$C,MATCH(O101,Venues!$A:$A,0))</f>
        <v>Durban</v>
      </c>
      <c r="V101" t="str">
        <f>IF(L101&gt;0,L101&amp;" runs",IF(M101&gt;0,M101&amp;" wickets","-"))</f>
        <v>2 wickets</v>
      </c>
      <c r="W101">
        <f>IF(G101=K101,1,0)</f>
        <v>0</v>
      </c>
      <c r="X101">
        <f>IF(L101&gt;0,L101,"")</f>
        <v/>
      </c>
      <c r="Y101">
        <f>IF(X101="","",IF(X101&gt;Stats!$B$15,"Outlier",""))</f>
        <v/>
      </c>
      <c r="Z101" t="str">
        <f>P101&amp;" vs "&amp;Q101</f>
        <v>Chennai Super Kings vs Royal Challengers Bangalore</v>
      </c>
    </row>
    <row r="102" spans="1:26" x14ac:dyDescent="0.25">
      <c r="A102">
        <v>160</v>
      </c>
      <c r="B102">
        <v>2009</v>
      </c>
      <c r="C102" s="5">
        <v>39947</v>
      </c>
      <c r="D102" t="s">
        <v>172</v>
      </c>
      <c r="E102" t="s">
        <v>41</v>
      </c>
      <c r="F102" t="s">
        <v>35</v>
      </c>
      <c r="G102" t="s">
        <v>41</v>
      </c>
      <c r="H102" t="s">
        <v>176</v>
      </c>
      <c r="I102" t="s">
        <v>174</v>
      </c>
      <c r="J102">
        <v>0</v>
      </c>
      <c r="K102" t="s">
        <v>41</v>
      </c>
      <c r="L102">
        <v>2</v>
      </c>
      <c r="M102">
        <v>0</v>
      </c>
      <c r="N102" t="s">
        <v>242</v>
      </c>
      <c r="O102" t="s">
        <v>89</v>
      </c>
      <c r="P102" t="str">
        <f>INDEX(Teams!$B:$B,MATCH(E102,Teams!$A:$A,0))</f>
        <v>Rajasthan Royals</v>
      </c>
      <c r="Q102" t="str">
        <f>INDEX(Teams!$B:$B,MATCH(F102,Teams!$A:$A,0))</f>
        <v>Mumbai Indians</v>
      </c>
      <c r="R102" t="str">
        <f>INDEX(Teams!$B:$B,MATCH(G102,Teams!$A:$A,0))</f>
        <v>Rajasthan Royals</v>
      </c>
      <c r="S102" t="str">
        <f>IF(K102="","No result",INDEX(Teams!$B:$B,MATCH(K102,Teams!$A:$A,0)))</f>
        <v>Rajasthan Royals</v>
      </c>
      <c r="T102" t="str">
        <f>INDEX(Venues!$B:$B,MATCH(O102,Venues!$A:$A,0))</f>
        <v>Kingsmead</v>
      </c>
      <c r="U102" t="str">
        <f>INDEX(Venues!$C:$C,MATCH(O102,Venues!$A:$A,0))</f>
        <v>Durban</v>
      </c>
      <c r="V102" t="str">
        <f>IF(L102&gt;0,L102&amp;" runs",IF(M102&gt;0,M102&amp;" wickets","-"))</f>
        <v>2 runs</v>
      </c>
      <c r="W102">
        <f>IF(G102=K102,1,0)</f>
        <v>1</v>
      </c>
      <c r="X102">
        <f>IF(L102&gt;0,L102,"")</f>
        <v>2</v>
      </c>
      <c r="Y102">
        <f>IF(X102="","",IF(X102&gt;Stats!$B$15,"Outlier",""))</f>
        <v/>
      </c>
      <c r="Z102" t="str">
        <f>P102&amp;" vs "&amp;Q102</f>
        <v>Rajasthan Royals vs Mumbai Indians</v>
      </c>
    </row>
    <row r="103" spans="1:26" x14ac:dyDescent="0.25">
      <c r="A103">
        <v>161</v>
      </c>
      <c r="B103">
        <v>2009</v>
      </c>
      <c r="C103" s="5">
        <v>39948</v>
      </c>
      <c r="D103" t="s">
        <v>172</v>
      </c>
      <c r="E103" t="s">
        <v>20</v>
      </c>
      <c r="F103" t="s">
        <v>26</v>
      </c>
      <c r="G103" t="s">
        <v>26</v>
      </c>
      <c r="H103" t="s">
        <v>173</v>
      </c>
      <c r="I103" t="s">
        <v>174</v>
      </c>
      <c r="J103">
        <v>0</v>
      </c>
      <c r="K103" t="s">
        <v>26</v>
      </c>
      <c r="L103">
        <v>0</v>
      </c>
      <c r="M103">
        <v>6</v>
      </c>
      <c r="N103" t="s">
        <v>243</v>
      </c>
      <c r="O103" t="s">
        <v>106</v>
      </c>
      <c r="P103" t="str">
        <f>INDEX(Teams!$B:$B,MATCH(E103,Teams!$A:$A,0))</f>
        <v>Delhi Capitals</v>
      </c>
      <c r="Q103" t="str">
        <f>INDEX(Teams!$B:$B,MATCH(F103,Teams!$A:$A,0))</f>
        <v>Kings XI Punjab</v>
      </c>
      <c r="R103" t="str">
        <f>INDEX(Teams!$B:$B,MATCH(G103,Teams!$A:$A,0))</f>
        <v>Kings XI Punjab</v>
      </c>
      <c r="S103" t="str">
        <f>IF(K103="","No result",INDEX(Teams!$B:$B,MATCH(K103,Teams!$A:$A,0)))</f>
        <v>Kings XI Punjab</v>
      </c>
      <c r="T103" t="str">
        <f>INDEX(Venues!$B:$B,MATCH(O103,Venues!$A:$A,0))</f>
        <v>OUTsurance Oval</v>
      </c>
      <c r="U103" t="str">
        <f>INDEX(Venues!$C:$C,MATCH(O103,Venues!$A:$A,0))</f>
        <v>Bloemfontein</v>
      </c>
      <c r="V103" t="str">
        <f>IF(L103&gt;0,L103&amp;" runs",IF(M103&gt;0,M103&amp;" wickets","-"))</f>
        <v>6 wickets</v>
      </c>
      <c r="W103">
        <f>IF(G103=K103,1,0)</f>
        <v>1</v>
      </c>
      <c r="X103">
        <f>IF(L103&gt;0,L103,"")</f>
        <v/>
      </c>
      <c r="Y103">
        <f>IF(X103="","",IF(X103&gt;Stats!$B$15,"Outlier",""))</f>
        <v/>
      </c>
      <c r="Z103" t="str">
        <f>P103&amp;" vs "&amp;Q103</f>
        <v>Delhi Capitals vs Kings XI Punjab</v>
      </c>
    </row>
    <row r="104" spans="1:26" x14ac:dyDescent="0.25">
      <c r="A104">
        <v>162</v>
      </c>
      <c r="B104">
        <v>2009</v>
      </c>
      <c r="C104" s="5">
        <v>39949</v>
      </c>
      <c r="D104" t="s">
        <v>172</v>
      </c>
      <c r="E104" t="s">
        <v>35</v>
      </c>
      <c r="F104" t="s">
        <v>12</v>
      </c>
      <c r="G104" t="s">
        <v>35</v>
      </c>
      <c r="H104" t="s">
        <v>176</v>
      </c>
      <c r="I104" t="s">
        <v>174</v>
      </c>
      <c r="J104">
        <v>0</v>
      </c>
      <c r="K104" t="s">
        <v>12</v>
      </c>
      <c r="L104">
        <v>0</v>
      </c>
      <c r="M104">
        <v>7</v>
      </c>
      <c r="N104" t="s">
        <v>183</v>
      </c>
      <c r="O104" t="s">
        <v>129</v>
      </c>
      <c r="P104" t="str">
        <f>INDEX(Teams!$B:$B,MATCH(E104,Teams!$A:$A,0))</f>
        <v>Mumbai Indians</v>
      </c>
      <c r="Q104" t="str">
        <f>INDEX(Teams!$B:$B,MATCH(F104,Teams!$A:$A,0))</f>
        <v>Chennai Super Kings</v>
      </c>
      <c r="R104" t="str">
        <f>INDEX(Teams!$B:$B,MATCH(G104,Teams!$A:$A,0))</f>
        <v>Mumbai Indians</v>
      </c>
      <c r="S104" t="str">
        <f>IF(K104="","No result",INDEX(Teams!$B:$B,MATCH(K104,Teams!$A:$A,0)))</f>
        <v>Chennai Super Kings</v>
      </c>
      <c r="T104" t="str">
        <f>INDEX(Venues!$B:$B,MATCH(O104,Venues!$A:$A,0))</f>
        <v>St George's Park</v>
      </c>
      <c r="U104" t="str">
        <f>INDEX(Venues!$C:$C,MATCH(O104,Venues!$A:$A,0))</f>
        <v>Port Elizabeth</v>
      </c>
      <c r="V104" t="str">
        <f>IF(L104&gt;0,L104&amp;" runs",IF(M104&gt;0,M104&amp;" wickets","-"))</f>
        <v>7 wickets</v>
      </c>
      <c r="W104">
        <f>IF(G104=K104,1,0)</f>
        <v>0</v>
      </c>
      <c r="X104">
        <f>IF(L104&gt;0,L104,"")</f>
        <v/>
      </c>
      <c r="Y104">
        <f>IF(X104="","",IF(X104&gt;Stats!$B$15,"Outlier",""))</f>
        <v/>
      </c>
      <c r="Z104" t="str">
        <f>P104&amp;" vs "&amp;Q104</f>
        <v>Mumbai Indians vs Chennai Super Kings</v>
      </c>
    </row>
    <row r="105" spans="1:26" x14ac:dyDescent="0.25">
      <c r="A105">
        <v>163</v>
      </c>
      <c r="B105">
        <v>2009</v>
      </c>
      <c r="C105" s="5">
        <v>39949</v>
      </c>
      <c r="D105" t="s">
        <v>172</v>
      </c>
      <c r="E105" t="s">
        <v>32</v>
      </c>
      <c r="F105" t="s">
        <v>16</v>
      </c>
      <c r="G105" t="s">
        <v>16</v>
      </c>
      <c r="H105" t="s">
        <v>173</v>
      </c>
      <c r="I105" t="s">
        <v>174</v>
      </c>
      <c r="J105">
        <v>0</v>
      </c>
      <c r="K105" t="s">
        <v>16</v>
      </c>
      <c r="L105">
        <v>0</v>
      </c>
      <c r="M105">
        <v>6</v>
      </c>
      <c r="N105" t="s">
        <v>235</v>
      </c>
      <c r="O105" t="s">
        <v>100</v>
      </c>
      <c r="P105" t="str">
        <f>INDEX(Teams!$B:$B,MATCH(E105,Teams!$A:$A,0))</f>
        <v>Kolkata Knight Riders</v>
      </c>
      <c r="Q105" t="str">
        <f>INDEX(Teams!$B:$B,MATCH(F105,Teams!$A:$A,0))</f>
        <v>Deccan Chargers</v>
      </c>
      <c r="R105" t="str">
        <f>INDEX(Teams!$B:$B,MATCH(G105,Teams!$A:$A,0))</f>
        <v>Deccan Chargers</v>
      </c>
      <c r="S105" t="str">
        <f>IF(K105="","No result",INDEX(Teams!$B:$B,MATCH(K105,Teams!$A:$A,0)))</f>
        <v>Deccan Chargers</v>
      </c>
      <c r="T105" t="str">
        <f>INDEX(Venues!$B:$B,MATCH(O105,Venues!$A:$A,0))</f>
        <v>New Wanderers Stadium</v>
      </c>
      <c r="U105" t="str">
        <f>INDEX(Venues!$C:$C,MATCH(O105,Venues!$A:$A,0))</f>
        <v>Johannesburg</v>
      </c>
      <c r="V105" t="str">
        <f>IF(L105&gt;0,L105&amp;" runs",IF(M105&gt;0,M105&amp;" wickets","-"))</f>
        <v>6 wickets</v>
      </c>
      <c r="W105">
        <f>IF(G105=K105,1,0)</f>
        <v>1</v>
      </c>
      <c r="X105">
        <f>IF(L105&gt;0,L105,"")</f>
        <v/>
      </c>
      <c r="Y105">
        <f>IF(X105="","",IF(X105&gt;Stats!$B$15,"Outlier",""))</f>
        <v/>
      </c>
      <c r="Z105" t="str">
        <f>P105&amp;" vs "&amp;Q105</f>
        <v>Kolkata Knight Riders vs Deccan Chargers</v>
      </c>
    </row>
    <row r="106" spans="1:26" x14ac:dyDescent="0.25">
      <c r="A106">
        <v>164</v>
      </c>
      <c r="B106">
        <v>2009</v>
      </c>
      <c r="C106" s="5">
        <v>39950</v>
      </c>
      <c r="D106" t="s">
        <v>172</v>
      </c>
      <c r="E106" t="s">
        <v>26</v>
      </c>
      <c r="F106" t="s">
        <v>16</v>
      </c>
      <c r="G106" t="s">
        <v>16</v>
      </c>
      <c r="H106" t="s">
        <v>173</v>
      </c>
      <c r="I106" t="s">
        <v>174</v>
      </c>
      <c r="J106">
        <v>0</v>
      </c>
      <c r="K106" t="s">
        <v>26</v>
      </c>
      <c r="L106">
        <v>1</v>
      </c>
      <c r="M106">
        <v>0</v>
      </c>
      <c r="N106" t="s">
        <v>231</v>
      </c>
      <c r="O106" t="s">
        <v>100</v>
      </c>
      <c r="P106" t="str">
        <f>INDEX(Teams!$B:$B,MATCH(E106,Teams!$A:$A,0))</f>
        <v>Kings XI Punjab</v>
      </c>
      <c r="Q106" t="str">
        <f>INDEX(Teams!$B:$B,MATCH(F106,Teams!$A:$A,0))</f>
        <v>Deccan Chargers</v>
      </c>
      <c r="R106" t="str">
        <f>INDEX(Teams!$B:$B,MATCH(G106,Teams!$A:$A,0))</f>
        <v>Deccan Chargers</v>
      </c>
      <c r="S106" t="str">
        <f>IF(K106="","No result",INDEX(Teams!$B:$B,MATCH(K106,Teams!$A:$A,0)))</f>
        <v>Kings XI Punjab</v>
      </c>
      <c r="T106" t="str">
        <f>INDEX(Venues!$B:$B,MATCH(O106,Venues!$A:$A,0))</f>
        <v>New Wanderers Stadium</v>
      </c>
      <c r="U106" t="str">
        <f>INDEX(Venues!$C:$C,MATCH(O106,Venues!$A:$A,0))</f>
        <v>Johannesburg</v>
      </c>
      <c r="V106" t="str">
        <f>IF(L106&gt;0,L106&amp;" runs",IF(M106&gt;0,M106&amp;" wickets","-"))</f>
        <v>1 runs</v>
      </c>
      <c r="W106">
        <f>IF(G106=K106,1,0)</f>
        <v>0</v>
      </c>
      <c r="X106">
        <f>IF(L106&gt;0,L106,"")</f>
        <v>1</v>
      </c>
      <c r="Y106">
        <f>IF(X106="","",IF(X106&gt;Stats!$B$15,"Outlier",""))</f>
        <v/>
      </c>
      <c r="Z106" t="str">
        <f>P106&amp;" vs "&amp;Q106</f>
        <v>Kings XI Punjab vs Deccan Chargers</v>
      </c>
    </row>
    <row r="107" spans="1:26" x14ac:dyDescent="0.25">
      <c r="A107">
        <v>165</v>
      </c>
      <c r="B107">
        <v>2009</v>
      </c>
      <c r="C107" s="5">
        <v>39950</v>
      </c>
      <c r="D107" t="s">
        <v>172</v>
      </c>
      <c r="E107" t="s">
        <v>20</v>
      </c>
      <c r="F107" t="s">
        <v>41</v>
      </c>
      <c r="G107" t="s">
        <v>20</v>
      </c>
      <c r="H107" t="s">
        <v>176</v>
      </c>
      <c r="I107" t="s">
        <v>174</v>
      </c>
      <c r="J107">
        <v>0</v>
      </c>
      <c r="K107" t="s">
        <v>20</v>
      </c>
      <c r="L107">
        <v>14</v>
      </c>
      <c r="M107">
        <v>0</v>
      </c>
      <c r="N107" t="s">
        <v>223</v>
      </c>
      <c r="O107" t="s">
        <v>106</v>
      </c>
      <c r="P107" t="str">
        <f>INDEX(Teams!$B:$B,MATCH(E107,Teams!$A:$A,0))</f>
        <v>Delhi Capitals</v>
      </c>
      <c r="Q107" t="str">
        <f>INDEX(Teams!$B:$B,MATCH(F107,Teams!$A:$A,0))</f>
        <v>Rajasthan Royals</v>
      </c>
      <c r="R107" t="str">
        <f>INDEX(Teams!$B:$B,MATCH(G107,Teams!$A:$A,0))</f>
        <v>Delhi Capitals</v>
      </c>
      <c r="S107" t="str">
        <f>IF(K107="","No result",INDEX(Teams!$B:$B,MATCH(K107,Teams!$A:$A,0)))</f>
        <v>Delhi Capitals</v>
      </c>
      <c r="T107" t="str">
        <f>INDEX(Venues!$B:$B,MATCH(O107,Venues!$A:$A,0))</f>
        <v>OUTsurance Oval</v>
      </c>
      <c r="U107" t="str">
        <f>INDEX(Venues!$C:$C,MATCH(O107,Venues!$A:$A,0))</f>
        <v>Bloemfontein</v>
      </c>
      <c r="V107" t="str">
        <f>IF(L107&gt;0,L107&amp;" runs",IF(M107&gt;0,M107&amp;" wickets","-"))</f>
        <v>14 runs</v>
      </c>
      <c r="W107">
        <f>IF(G107=K107,1,0)</f>
        <v>1</v>
      </c>
      <c r="X107">
        <f>IF(L107&gt;0,L107,"")</f>
        <v>14</v>
      </c>
      <c r="Y107">
        <f>IF(X107="","",IF(X107&gt;Stats!$B$15,"Outlier",""))</f>
        <v/>
      </c>
      <c r="Z107" t="str">
        <f>P107&amp;" vs "&amp;Q107</f>
        <v>Delhi Capitals vs Rajasthan Royals</v>
      </c>
    </row>
    <row r="108" spans="1:26" x14ac:dyDescent="0.25">
      <c r="A108">
        <v>166</v>
      </c>
      <c r="B108">
        <v>2009</v>
      </c>
      <c r="C108" s="5">
        <v>39951</v>
      </c>
      <c r="D108" t="s">
        <v>172</v>
      </c>
      <c r="E108" t="s">
        <v>12</v>
      </c>
      <c r="F108" t="s">
        <v>32</v>
      </c>
      <c r="G108" t="s">
        <v>12</v>
      </c>
      <c r="H108" t="s">
        <v>176</v>
      </c>
      <c r="I108" t="s">
        <v>174</v>
      </c>
      <c r="J108">
        <v>0</v>
      </c>
      <c r="K108" t="s">
        <v>32</v>
      </c>
      <c r="L108">
        <v>0</v>
      </c>
      <c r="M108">
        <v>7</v>
      </c>
      <c r="N108" t="s">
        <v>244</v>
      </c>
      <c r="O108" t="s">
        <v>132</v>
      </c>
      <c r="P108" t="str">
        <f>INDEX(Teams!$B:$B,MATCH(E108,Teams!$A:$A,0))</f>
        <v>Chennai Super Kings</v>
      </c>
      <c r="Q108" t="str">
        <f>INDEX(Teams!$B:$B,MATCH(F108,Teams!$A:$A,0))</f>
        <v>Kolkata Knight Riders</v>
      </c>
      <c r="R108" t="str">
        <f>INDEX(Teams!$B:$B,MATCH(G108,Teams!$A:$A,0))</f>
        <v>Chennai Super Kings</v>
      </c>
      <c r="S108" t="str">
        <f>IF(K108="","No result",INDEX(Teams!$B:$B,MATCH(K108,Teams!$A:$A,0)))</f>
        <v>Kolkata Knight Riders</v>
      </c>
      <c r="T108" t="str">
        <f>INDEX(Venues!$B:$B,MATCH(O108,Venues!$A:$A,0))</f>
        <v>SuperSport Park</v>
      </c>
      <c r="U108" t="str">
        <f>INDEX(Venues!$C:$C,MATCH(O108,Venues!$A:$A,0))</f>
        <v>Centurion</v>
      </c>
      <c r="V108" t="str">
        <f>IF(L108&gt;0,L108&amp;" runs",IF(M108&gt;0,M108&amp;" wickets","-"))</f>
        <v>7 wickets</v>
      </c>
      <c r="W108">
        <f>IF(G108=K108,1,0)</f>
        <v>0</v>
      </c>
      <c r="X108">
        <f>IF(L108&gt;0,L108,"")</f>
        <v/>
      </c>
      <c r="Y108">
        <f>IF(X108="","",IF(X108&gt;Stats!$B$15,"Outlier",""))</f>
        <v/>
      </c>
      <c r="Z108" t="str">
        <f>P108&amp;" vs "&amp;Q108</f>
        <v>Chennai Super Kings vs Kolkata Knight Riders</v>
      </c>
    </row>
    <row r="109" spans="1:26" x14ac:dyDescent="0.25">
      <c r="A109">
        <v>167</v>
      </c>
      <c r="B109">
        <v>2009</v>
      </c>
      <c r="C109" s="5">
        <v>39952</v>
      </c>
      <c r="D109" t="s">
        <v>172</v>
      </c>
      <c r="E109" t="s">
        <v>20</v>
      </c>
      <c r="F109" t="s">
        <v>46</v>
      </c>
      <c r="G109" t="s">
        <v>20</v>
      </c>
      <c r="H109" t="s">
        <v>176</v>
      </c>
      <c r="I109" t="s">
        <v>174</v>
      </c>
      <c r="J109">
        <v>0</v>
      </c>
      <c r="K109" t="s">
        <v>46</v>
      </c>
      <c r="L109">
        <v>0</v>
      </c>
      <c r="M109">
        <v>7</v>
      </c>
      <c r="N109" t="s">
        <v>233</v>
      </c>
      <c r="O109" t="s">
        <v>100</v>
      </c>
      <c r="P109" t="str">
        <f>INDEX(Teams!$B:$B,MATCH(E109,Teams!$A:$A,0))</f>
        <v>Delhi Capitals</v>
      </c>
      <c r="Q109" t="str">
        <f>INDEX(Teams!$B:$B,MATCH(F109,Teams!$A:$A,0))</f>
        <v>Royal Challengers Bangalore</v>
      </c>
      <c r="R109" t="str">
        <f>INDEX(Teams!$B:$B,MATCH(G109,Teams!$A:$A,0))</f>
        <v>Delhi Capitals</v>
      </c>
      <c r="S109" t="str">
        <f>IF(K109="","No result",INDEX(Teams!$B:$B,MATCH(K109,Teams!$A:$A,0)))</f>
        <v>Royal Challengers Bangalore</v>
      </c>
      <c r="T109" t="str">
        <f>INDEX(Venues!$B:$B,MATCH(O109,Venues!$A:$A,0))</f>
        <v>New Wanderers Stadium</v>
      </c>
      <c r="U109" t="str">
        <f>INDEX(Venues!$C:$C,MATCH(O109,Venues!$A:$A,0))</f>
        <v>Johannesburg</v>
      </c>
      <c r="V109" t="str">
        <f>IF(L109&gt;0,L109&amp;" runs",IF(M109&gt;0,M109&amp;" wickets","-"))</f>
        <v>7 wickets</v>
      </c>
      <c r="W109">
        <f>IF(G109=K109,1,0)</f>
        <v>0</v>
      </c>
      <c r="X109">
        <f>IF(L109&gt;0,L109,"")</f>
        <v/>
      </c>
      <c r="Y109">
        <f>IF(X109="","",IF(X109&gt;Stats!$B$15,"Outlier",""))</f>
        <v/>
      </c>
      <c r="Z109" t="str">
        <f>P109&amp;" vs "&amp;Q109</f>
        <v>Delhi Capitals vs Royal Challengers Bangalore</v>
      </c>
    </row>
    <row r="110" spans="1:26" x14ac:dyDescent="0.25">
      <c r="A110">
        <v>168</v>
      </c>
      <c r="B110">
        <v>2009</v>
      </c>
      <c r="C110" s="5">
        <v>39953</v>
      </c>
      <c r="D110" t="s">
        <v>172</v>
      </c>
      <c r="E110" t="s">
        <v>41</v>
      </c>
      <c r="F110" t="s">
        <v>32</v>
      </c>
      <c r="G110" t="s">
        <v>32</v>
      </c>
      <c r="H110" t="s">
        <v>173</v>
      </c>
      <c r="I110" t="s">
        <v>174</v>
      </c>
      <c r="J110">
        <v>0</v>
      </c>
      <c r="K110" t="s">
        <v>32</v>
      </c>
      <c r="L110">
        <v>0</v>
      </c>
      <c r="M110">
        <v>4</v>
      </c>
      <c r="N110" t="s">
        <v>245</v>
      </c>
      <c r="O110" t="s">
        <v>89</v>
      </c>
      <c r="P110" t="str">
        <f>INDEX(Teams!$B:$B,MATCH(E110,Teams!$A:$A,0))</f>
        <v>Rajasthan Royals</v>
      </c>
      <c r="Q110" t="str">
        <f>INDEX(Teams!$B:$B,MATCH(F110,Teams!$A:$A,0))</f>
        <v>Kolkata Knight Riders</v>
      </c>
      <c r="R110" t="str">
        <f>INDEX(Teams!$B:$B,MATCH(G110,Teams!$A:$A,0))</f>
        <v>Kolkata Knight Riders</v>
      </c>
      <c r="S110" t="str">
        <f>IF(K110="","No result",INDEX(Teams!$B:$B,MATCH(K110,Teams!$A:$A,0)))</f>
        <v>Kolkata Knight Riders</v>
      </c>
      <c r="T110" t="str">
        <f>INDEX(Venues!$B:$B,MATCH(O110,Venues!$A:$A,0))</f>
        <v>Kingsmead</v>
      </c>
      <c r="U110" t="str">
        <f>INDEX(Venues!$C:$C,MATCH(O110,Venues!$A:$A,0))</f>
        <v>Durban</v>
      </c>
      <c r="V110" t="str">
        <f>IF(L110&gt;0,L110&amp;" runs",IF(M110&gt;0,M110&amp;" wickets","-"))</f>
        <v>4 wickets</v>
      </c>
      <c r="W110">
        <f>IF(G110=K110,1,0)</f>
        <v>1</v>
      </c>
      <c r="X110">
        <f>IF(L110&gt;0,L110,"")</f>
        <v/>
      </c>
      <c r="Y110">
        <f>IF(X110="","",IF(X110&gt;Stats!$B$15,"Outlier",""))</f>
        <v/>
      </c>
      <c r="Z110" t="str">
        <f>P110&amp;" vs "&amp;Q110</f>
        <v>Rajasthan Royals vs Kolkata Knight Riders</v>
      </c>
    </row>
    <row r="111" spans="1:26" x14ac:dyDescent="0.25">
      <c r="A111">
        <v>169</v>
      </c>
      <c r="B111">
        <v>2009</v>
      </c>
      <c r="C111" s="5">
        <v>39953</v>
      </c>
      <c r="D111" t="s">
        <v>172</v>
      </c>
      <c r="E111" t="s">
        <v>12</v>
      </c>
      <c r="F111" t="s">
        <v>26</v>
      </c>
      <c r="G111" t="s">
        <v>12</v>
      </c>
      <c r="H111" t="s">
        <v>176</v>
      </c>
      <c r="I111" t="s">
        <v>174</v>
      </c>
      <c r="J111">
        <v>0</v>
      </c>
      <c r="K111" t="s">
        <v>12</v>
      </c>
      <c r="L111">
        <v>24</v>
      </c>
      <c r="M111">
        <v>0</v>
      </c>
      <c r="N111" t="s">
        <v>221</v>
      </c>
      <c r="O111" t="s">
        <v>89</v>
      </c>
      <c r="P111" t="str">
        <f>INDEX(Teams!$B:$B,MATCH(E111,Teams!$A:$A,0))</f>
        <v>Chennai Super Kings</v>
      </c>
      <c r="Q111" t="str">
        <f>INDEX(Teams!$B:$B,MATCH(F111,Teams!$A:$A,0))</f>
        <v>Kings XI Punjab</v>
      </c>
      <c r="R111" t="str">
        <f>INDEX(Teams!$B:$B,MATCH(G111,Teams!$A:$A,0))</f>
        <v>Chennai Super Kings</v>
      </c>
      <c r="S111" t="str">
        <f>IF(K111="","No result",INDEX(Teams!$B:$B,MATCH(K111,Teams!$A:$A,0)))</f>
        <v>Chennai Super Kings</v>
      </c>
      <c r="T111" t="str">
        <f>INDEX(Venues!$B:$B,MATCH(O111,Venues!$A:$A,0))</f>
        <v>Kingsmead</v>
      </c>
      <c r="U111" t="str">
        <f>INDEX(Venues!$C:$C,MATCH(O111,Venues!$A:$A,0))</f>
        <v>Durban</v>
      </c>
      <c r="V111" t="str">
        <f>IF(L111&gt;0,L111&amp;" runs",IF(M111&gt;0,M111&amp;" wickets","-"))</f>
        <v>24 runs</v>
      </c>
      <c r="W111">
        <f>IF(G111=K111,1,0)</f>
        <v>1</v>
      </c>
      <c r="X111">
        <f>IF(L111&gt;0,L111,"")</f>
        <v>24</v>
      </c>
      <c r="Y111">
        <f>IF(X111="","",IF(X111&gt;Stats!$B$15,"Outlier",""))</f>
        <v/>
      </c>
      <c r="Z111" t="str">
        <f>P111&amp;" vs "&amp;Q111</f>
        <v>Chennai Super Kings vs Kings XI Punjab</v>
      </c>
    </row>
    <row r="112" spans="1:26" x14ac:dyDescent="0.25">
      <c r="A112">
        <v>170</v>
      </c>
      <c r="B112">
        <v>2009</v>
      </c>
      <c r="C112" s="5">
        <v>39954</v>
      </c>
      <c r="D112" t="s">
        <v>172</v>
      </c>
      <c r="E112" t="s">
        <v>35</v>
      </c>
      <c r="F112" t="s">
        <v>20</v>
      </c>
      <c r="G112" t="s">
        <v>20</v>
      </c>
      <c r="H112" t="s">
        <v>173</v>
      </c>
      <c r="I112" t="s">
        <v>174</v>
      </c>
      <c r="J112">
        <v>0</v>
      </c>
      <c r="K112" t="s">
        <v>20</v>
      </c>
      <c r="L112">
        <v>0</v>
      </c>
      <c r="M112">
        <v>4</v>
      </c>
      <c r="N112" t="s">
        <v>182</v>
      </c>
      <c r="O112" t="s">
        <v>132</v>
      </c>
      <c r="P112" t="str">
        <f>INDEX(Teams!$B:$B,MATCH(E112,Teams!$A:$A,0))</f>
        <v>Mumbai Indians</v>
      </c>
      <c r="Q112" t="str">
        <f>INDEX(Teams!$B:$B,MATCH(F112,Teams!$A:$A,0))</f>
        <v>Delhi Capitals</v>
      </c>
      <c r="R112" t="str">
        <f>INDEX(Teams!$B:$B,MATCH(G112,Teams!$A:$A,0))</f>
        <v>Delhi Capitals</v>
      </c>
      <c r="S112" t="str">
        <f>IF(K112="","No result",INDEX(Teams!$B:$B,MATCH(K112,Teams!$A:$A,0)))</f>
        <v>Delhi Capitals</v>
      </c>
      <c r="T112" t="str">
        <f>INDEX(Venues!$B:$B,MATCH(O112,Venues!$A:$A,0))</f>
        <v>SuperSport Park</v>
      </c>
      <c r="U112" t="str">
        <f>INDEX(Venues!$C:$C,MATCH(O112,Venues!$A:$A,0))</f>
        <v>Centurion</v>
      </c>
      <c r="V112" t="str">
        <f>IF(L112&gt;0,L112&amp;" runs",IF(M112&gt;0,M112&amp;" wickets","-"))</f>
        <v>4 wickets</v>
      </c>
      <c r="W112">
        <f>IF(G112=K112,1,0)</f>
        <v>1</v>
      </c>
      <c r="X112">
        <f>IF(L112&gt;0,L112,"")</f>
        <v/>
      </c>
      <c r="Y112">
        <f>IF(X112="","",IF(X112&gt;Stats!$B$15,"Outlier",""))</f>
        <v/>
      </c>
      <c r="Z112" t="str">
        <f>P112&amp;" vs "&amp;Q112</f>
        <v>Mumbai Indians vs Delhi Capitals</v>
      </c>
    </row>
    <row r="113" spans="1:26" x14ac:dyDescent="0.25">
      <c r="A113">
        <v>171</v>
      </c>
      <c r="B113">
        <v>2009</v>
      </c>
      <c r="C113" s="5">
        <v>39954</v>
      </c>
      <c r="D113" t="s">
        <v>172</v>
      </c>
      <c r="E113" t="s">
        <v>46</v>
      </c>
      <c r="F113" t="s">
        <v>16</v>
      </c>
      <c r="G113" t="s">
        <v>46</v>
      </c>
      <c r="H113" t="s">
        <v>176</v>
      </c>
      <c r="I113" t="s">
        <v>174</v>
      </c>
      <c r="J113">
        <v>0</v>
      </c>
      <c r="K113" t="s">
        <v>46</v>
      </c>
      <c r="L113">
        <v>12</v>
      </c>
      <c r="M113">
        <v>0</v>
      </c>
      <c r="N113" t="s">
        <v>246</v>
      </c>
      <c r="O113" t="s">
        <v>132</v>
      </c>
      <c r="P113" t="str">
        <f>INDEX(Teams!$B:$B,MATCH(E113,Teams!$A:$A,0))</f>
        <v>Royal Challengers Bangalore</v>
      </c>
      <c r="Q113" t="str">
        <f>INDEX(Teams!$B:$B,MATCH(F113,Teams!$A:$A,0))</f>
        <v>Deccan Chargers</v>
      </c>
      <c r="R113" t="str">
        <f>INDEX(Teams!$B:$B,MATCH(G113,Teams!$A:$A,0))</f>
        <v>Royal Challengers Bangalore</v>
      </c>
      <c r="S113" t="str">
        <f>IF(K113="","No result",INDEX(Teams!$B:$B,MATCH(K113,Teams!$A:$A,0)))</f>
        <v>Royal Challengers Bangalore</v>
      </c>
      <c r="T113" t="str">
        <f>INDEX(Venues!$B:$B,MATCH(O113,Venues!$A:$A,0))</f>
        <v>SuperSport Park</v>
      </c>
      <c r="U113" t="str">
        <f>INDEX(Venues!$C:$C,MATCH(O113,Venues!$A:$A,0))</f>
        <v>Centurion</v>
      </c>
      <c r="V113" t="str">
        <f>IF(L113&gt;0,L113&amp;" runs",IF(M113&gt;0,M113&amp;" wickets","-"))</f>
        <v>12 runs</v>
      </c>
      <c r="W113">
        <f>IF(G113=K113,1,0)</f>
        <v>1</v>
      </c>
      <c r="X113">
        <f>IF(L113&gt;0,L113,"")</f>
        <v>12</v>
      </c>
      <c r="Y113">
        <f>IF(X113="","",IF(X113&gt;Stats!$B$15,"Outlier",""))</f>
        <v/>
      </c>
      <c r="Z113" t="str">
        <f>P113&amp;" vs "&amp;Q113</f>
        <v>Royal Challengers Bangalore vs Deccan Chargers</v>
      </c>
    </row>
    <row r="114" spans="1:26" x14ac:dyDescent="0.25">
      <c r="A114">
        <v>172</v>
      </c>
      <c r="B114">
        <v>2009</v>
      </c>
      <c r="C114" s="5">
        <v>39955</v>
      </c>
      <c r="D114" t="s">
        <v>172</v>
      </c>
      <c r="E114" t="s">
        <v>20</v>
      </c>
      <c r="F114" t="s">
        <v>16</v>
      </c>
      <c r="G114" t="s">
        <v>16</v>
      </c>
      <c r="H114" t="s">
        <v>173</v>
      </c>
      <c r="I114" t="s">
        <v>174</v>
      </c>
      <c r="J114">
        <v>0</v>
      </c>
      <c r="K114" t="s">
        <v>16</v>
      </c>
      <c r="L114">
        <v>0</v>
      </c>
      <c r="M114">
        <v>6</v>
      </c>
      <c r="N114" t="s">
        <v>187</v>
      </c>
      <c r="O114" t="s">
        <v>132</v>
      </c>
      <c r="P114" t="str">
        <f>INDEX(Teams!$B:$B,MATCH(E114,Teams!$A:$A,0))</f>
        <v>Delhi Capitals</v>
      </c>
      <c r="Q114" t="str">
        <f>INDEX(Teams!$B:$B,MATCH(F114,Teams!$A:$A,0))</f>
        <v>Deccan Chargers</v>
      </c>
      <c r="R114" t="str">
        <f>INDEX(Teams!$B:$B,MATCH(G114,Teams!$A:$A,0))</f>
        <v>Deccan Chargers</v>
      </c>
      <c r="S114" t="str">
        <f>IF(K114="","No result",INDEX(Teams!$B:$B,MATCH(K114,Teams!$A:$A,0)))</f>
        <v>Deccan Chargers</v>
      </c>
      <c r="T114" t="str">
        <f>INDEX(Venues!$B:$B,MATCH(O114,Venues!$A:$A,0))</f>
        <v>SuperSport Park</v>
      </c>
      <c r="U114" t="str">
        <f>INDEX(Venues!$C:$C,MATCH(O114,Venues!$A:$A,0))</f>
        <v>Centurion</v>
      </c>
      <c r="V114" t="str">
        <f>IF(L114&gt;0,L114&amp;" runs",IF(M114&gt;0,M114&amp;" wickets","-"))</f>
        <v>6 wickets</v>
      </c>
      <c r="W114">
        <f>IF(G114=K114,1,0)</f>
        <v>1</v>
      </c>
      <c r="X114">
        <f>IF(L114&gt;0,L114,"")</f>
        <v/>
      </c>
      <c r="Y114">
        <f>IF(X114="","",IF(X114&gt;Stats!$B$15,"Outlier",""))</f>
        <v/>
      </c>
      <c r="Z114" t="str">
        <f>P114&amp;" vs "&amp;Q114</f>
        <v>Delhi Capitals vs Deccan Chargers</v>
      </c>
    </row>
    <row r="115" spans="1:26" x14ac:dyDescent="0.25">
      <c r="A115">
        <v>173</v>
      </c>
      <c r="B115">
        <v>2009</v>
      </c>
      <c r="C115" s="5">
        <v>39956</v>
      </c>
      <c r="D115" t="s">
        <v>172</v>
      </c>
      <c r="E115" t="s">
        <v>12</v>
      </c>
      <c r="F115" t="s">
        <v>46</v>
      </c>
      <c r="G115" t="s">
        <v>46</v>
      </c>
      <c r="H115" t="s">
        <v>173</v>
      </c>
      <c r="I115" t="s">
        <v>174</v>
      </c>
      <c r="J115">
        <v>0</v>
      </c>
      <c r="K115" t="s">
        <v>46</v>
      </c>
      <c r="L115">
        <v>0</v>
      </c>
      <c r="M115">
        <v>6</v>
      </c>
      <c r="N115" t="s">
        <v>246</v>
      </c>
      <c r="O115" t="s">
        <v>100</v>
      </c>
      <c r="P115" t="str">
        <f>INDEX(Teams!$B:$B,MATCH(E115,Teams!$A:$A,0))</f>
        <v>Chennai Super Kings</v>
      </c>
      <c r="Q115" t="str">
        <f>INDEX(Teams!$B:$B,MATCH(F115,Teams!$A:$A,0))</f>
        <v>Royal Challengers Bangalore</v>
      </c>
      <c r="R115" t="str">
        <f>INDEX(Teams!$B:$B,MATCH(G115,Teams!$A:$A,0))</f>
        <v>Royal Challengers Bangalore</v>
      </c>
      <c r="S115" t="str">
        <f>IF(K115="","No result",INDEX(Teams!$B:$B,MATCH(K115,Teams!$A:$A,0)))</f>
        <v>Royal Challengers Bangalore</v>
      </c>
      <c r="T115" t="str">
        <f>INDEX(Venues!$B:$B,MATCH(O115,Venues!$A:$A,0))</f>
        <v>New Wanderers Stadium</v>
      </c>
      <c r="U115" t="str">
        <f>INDEX(Venues!$C:$C,MATCH(O115,Venues!$A:$A,0))</f>
        <v>Johannesburg</v>
      </c>
      <c r="V115" t="str">
        <f>IF(L115&gt;0,L115&amp;" runs",IF(M115&gt;0,M115&amp;" wickets","-"))</f>
        <v>6 wickets</v>
      </c>
      <c r="W115">
        <f>IF(G115=K115,1,0)</f>
        <v>1</v>
      </c>
      <c r="X115">
        <f>IF(L115&gt;0,L115,"")</f>
        <v/>
      </c>
      <c r="Y115">
        <f>IF(X115="","",IF(X115&gt;Stats!$B$15,"Outlier",""))</f>
        <v/>
      </c>
      <c r="Z115" t="str">
        <f>P115&amp;" vs "&amp;Q115</f>
        <v>Chennai Super Kings vs Royal Challengers Bangalore</v>
      </c>
    </row>
    <row r="116" spans="1:26" x14ac:dyDescent="0.25">
      <c r="A116">
        <v>174</v>
      </c>
      <c r="B116">
        <v>2009</v>
      </c>
      <c r="C116" s="5">
        <v>39957</v>
      </c>
      <c r="D116" t="s">
        <v>216</v>
      </c>
      <c r="E116" t="s">
        <v>16</v>
      </c>
      <c r="F116" t="s">
        <v>46</v>
      </c>
      <c r="G116" t="s">
        <v>46</v>
      </c>
      <c r="H116" t="s">
        <v>173</v>
      </c>
      <c r="I116" t="s">
        <v>174</v>
      </c>
      <c r="J116">
        <v>0</v>
      </c>
      <c r="K116" t="s">
        <v>16</v>
      </c>
      <c r="L116">
        <v>6</v>
      </c>
      <c r="M116">
        <v>0</v>
      </c>
      <c r="N116" t="s">
        <v>209</v>
      </c>
      <c r="O116" t="s">
        <v>100</v>
      </c>
      <c r="P116" t="str">
        <f>INDEX(Teams!$B:$B,MATCH(E116,Teams!$A:$A,0))</f>
        <v>Deccan Chargers</v>
      </c>
      <c r="Q116" t="str">
        <f>INDEX(Teams!$B:$B,MATCH(F116,Teams!$A:$A,0))</f>
        <v>Royal Challengers Bangalore</v>
      </c>
      <c r="R116" t="str">
        <f>INDEX(Teams!$B:$B,MATCH(G116,Teams!$A:$A,0))</f>
        <v>Royal Challengers Bangalore</v>
      </c>
      <c r="S116" t="str">
        <f>IF(K116="","No result",INDEX(Teams!$B:$B,MATCH(K116,Teams!$A:$A,0)))</f>
        <v>Deccan Chargers</v>
      </c>
      <c r="T116" t="str">
        <f>INDEX(Venues!$B:$B,MATCH(O116,Venues!$A:$A,0))</f>
        <v>New Wanderers Stadium</v>
      </c>
      <c r="U116" t="str">
        <f>INDEX(Venues!$C:$C,MATCH(O116,Venues!$A:$A,0))</f>
        <v>Johannesburg</v>
      </c>
      <c r="V116" t="str">
        <f>IF(L116&gt;0,L116&amp;" runs",IF(M116&gt;0,M116&amp;" wickets","-"))</f>
        <v>6 runs</v>
      </c>
      <c r="W116">
        <f>IF(G116=K116,1,0)</f>
        <v>0</v>
      </c>
      <c r="X116">
        <f>IF(L116&gt;0,L116,"")</f>
        <v>6</v>
      </c>
      <c r="Y116">
        <f>IF(X116="","",IF(X116&gt;Stats!$B$15,"Outlier",""))</f>
        <v/>
      </c>
      <c r="Z116" t="str">
        <f>P116&amp;" vs "&amp;Q116</f>
        <v>Deccan Chargers vs Royal Challengers Bangalore</v>
      </c>
    </row>
    <row r="117" spans="1:26" x14ac:dyDescent="0.25">
      <c r="A117">
        <v>175</v>
      </c>
      <c r="B117">
        <v>2010</v>
      </c>
      <c r="C117" s="5">
        <v>40249</v>
      </c>
      <c r="D117" t="s">
        <v>172</v>
      </c>
      <c r="E117" t="s">
        <v>32</v>
      </c>
      <c r="F117" t="s">
        <v>16</v>
      </c>
      <c r="G117" t="s">
        <v>16</v>
      </c>
      <c r="H117" t="s">
        <v>173</v>
      </c>
      <c r="I117" t="s">
        <v>174</v>
      </c>
      <c r="J117">
        <v>0</v>
      </c>
      <c r="K117" t="s">
        <v>32</v>
      </c>
      <c r="L117">
        <v>11</v>
      </c>
      <c r="M117">
        <v>0</v>
      </c>
      <c r="N117" t="s">
        <v>247</v>
      </c>
      <c r="O117" t="s">
        <v>65</v>
      </c>
      <c r="P117" t="str">
        <f>INDEX(Teams!$B:$B,MATCH(E117,Teams!$A:$A,0))</f>
        <v>Kolkata Knight Riders</v>
      </c>
      <c r="Q117" t="str">
        <f>INDEX(Teams!$B:$B,MATCH(F117,Teams!$A:$A,0))</f>
        <v>Deccan Chargers</v>
      </c>
      <c r="R117" t="str">
        <f>INDEX(Teams!$B:$B,MATCH(G117,Teams!$A:$A,0))</f>
        <v>Deccan Chargers</v>
      </c>
      <c r="S117" t="str">
        <f>IF(K117="","No result",INDEX(Teams!$B:$B,MATCH(K117,Teams!$A:$A,0)))</f>
        <v>Kolkata Knight Riders</v>
      </c>
      <c r="T117" t="str">
        <f>INDEX(Venues!$B:$B,MATCH(O117,Venues!$A:$A,0))</f>
        <v>Dr DY Patil Sports Academy</v>
      </c>
      <c r="U117" t="str">
        <f>INDEX(Venues!$C:$C,MATCH(O117,Venues!$A:$A,0))</f>
        <v>Mumbai</v>
      </c>
      <c r="V117" t="str">
        <f>IF(L117&gt;0,L117&amp;" runs",IF(M117&gt;0,M117&amp;" wickets","-"))</f>
        <v>11 runs</v>
      </c>
      <c r="W117">
        <f>IF(G117=K117,1,0)</f>
        <v>0</v>
      </c>
      <c r="X117">
        <f>IF(L117&gt;0,L117,"")</f>
        <v>11</v>
      </c>
      <c r="Y117">
        <f>IF(X117="","",IF(X117&gt;Stats!$B$15,"Outlier",""))</f>
        <v/>
      </c>
      <c r="Z117" t="str">
        <f>P117&amp;" vs "&amp;Q117</f>
        <v>Kolkata Knight Riders vs Deccan Chargers</v>
      </c>
    </row>
    <row r="118" spans="1:26" x14ac:dyDescent="0.25">
      <c r="A118">
        <v>176</v>
      </c>
      <c r="B118">
        <v>2010</v>
      </c>
      <c r="C118" s="5">
        <v>40250</v>
      </c>
      <c r="D118" t="s">
        <v>172</v>
      </c>
      <c r="E118" t="s">
        <v>35</v>
      </c>
      <c r="F118" t="s">
        <v>41</v>
      </c>
      <c r="G118" t="s">
        <v>35</v>
      </c>
      <c r="H118" t="s">
        <v>176</v>
      </c>
      <c r="I118" t="s">
        <v>174</v>
      </c>
      <c r="J118">
        <v>0</v>
      </c>
      <c r="K118" t="s">
        <v>35</v>
      </c>
      <c r="L118">
        <v>4</v>
      </c>
      <c r="M118">
        <v>0</v>
      </c>
      <c r="N118" t="s">
        <v>184</v>
      </c>
      <c r="O118" t="s">
        <v>57</v>
      </c>
      <c r="P118" t="str">
        <f>INDEX(Teams!$B:$B,MATCH(E118,Teams!$A:$A,0))</f>
        <v>Mumbai Indians</v>
      </c>
      <c r="Q118" t="str">
        <f>INDEX(Teams!$B:$B,MATCH(F118,Teams!$A:$A,0))</f>
        <v>Rajasthan Royals</v>
      </c>
      <c r="R118" t="str">
        <f>INDEX(Teams!$B:$B,MATCH(G118,Teams!$A:$A,0))</f>
        <v>Mumbai Indians</v>
      </c>
      <c r="S118" t="str">
        <f>IF(K118="","No result",INDEX(Teams!$B:$B,MATCH(K118,Teams!$A:$A,0)))</f>
        <v>Mumbai Indians</v>
      </c>
      <c r="T118" t="str">
        <f>INDEX(Venues!$B:$B,MATCH(O118,Venues!$A:$A,0))</f>
        <v>Brabourne Stadium</v>
      </c>
      <c r="U118" t="str">
        <f>INDEX(Venues!$C:$C,MATCH(O118,Venues!$A:$A,0))</f>
        <v>Mumbai</v>
      </c>
      <c r="V118" t="str">
        <f>IF(L118&gt;0,L118&amp;" runs",IF(M118&gt;0,M118&amp;" wickets","-"))</f>
        <v>4 runs</v>
      </c>
      <c r="W118">
        <f>IF(G118=K118,1,0)</f>
        <v>1</v>
      </c>
      <c r="X118">
        <f>IF(L118&gt;0,L118,"")</f>
        <v>4</v>
      </c>
      <c r="Y118">
        <f>IF(X118="","",IF(X118&gt;Stats!$B$15,"Outlier",""))</f>
        <v/>
      </c>
      <c r="Z118" t="str">
        <f>P118&amp;" vs "&amp;Q118</f>
        <v>Mumbai Indians vs Rajasthan Royals</v>
      </c>
    </row>
    <row r="119" spans="1:26" x14ac:dyDescent="0.25">
      <c r="A119">
        <v>177</v>
      </c>
      <c r="B119">
        <v>2010</v>
      </c>
      <c r="C119" s="5">
        <v>40250</v>
      </c>
      <c r="D119" t="s">
        <v>172</v>
      </c>
      <c r="E119" t="s">
        <v>26</v>
      </c>
      <c r="F119" t="s">
        <v>20</v>
      </c>
      <c r="G119" t="s">
        <v>20</v>
      </c>
      <c r="H119" t="s">
        <v>173</v>
      </c>
      <c r="I119" t="s">
        <v>174</v>
      </c>
      <c r="J119">
        <v>0</v>
      </c>
      <c r="K119" t="s">
        <v>20</v>
      </c>
      <c r="L119">
        <v>0</v>
      </c>
      <c r="M119">
        <v>5</v>
      </c>
      <c r="N119" t="s">
        <v>234</v>
      </c>
      <c r="O119" t="s">
        <v>109</v>
      </c>
      <c r="P119" t="str">
        <f>INDEX(Teams!$B:$B,MATCH(E119,Teams!$A:$A,0))</f>
        <v>Kings XI Punjab</v>
      </c>
      <c r="Q119" t="str">
        <f>INDEX(Teams!$B:$B,MATCH(F119,Teams!$A:$A,0))</f>
        <v>Delhi Capitals</v>
      </c>
      <c r="R119" t="str">
        <f>INDEX(Teams!$B:$B,MATCH(G119,Teams!$A:$A,0))</f>
        <v>Delhi Capitals</v>
      </c>
      <c r="S119" t="str">
        <f>IF(K119="","No result",INDEX(Teams!$B:$B,MATCH(K119,Teams!$A:$A,0)))</f>
        <v>Delhi Capitals</v>
      </c>
      <c r="T119" t="str">
        <f>INDEX(Venues!$B:$B,MATCH(O119,Venues!$A:$A,0))</f>
        <v>Punjab Cricket Association IS Bindra Stadium</v>
      </c>
      <c r="U119" t="str">
        <f>INDEX(Venues!$C:$C,MATCH(O119,Venues!$A:$A,0))</f>
        <v>Chandigarh</v>
      </c>
      <c r="V119" t="str">
        <f>IF(L119&gt;0,L119&amp;" runs",IF(M119&gt;0,M119&amp;" wickets","-"))</f>
        <v>5 wickets</v>
      </c>
      <c r="W119">
        <f>IF(G119=K119,1,0)</f>
        <v>1</v>
      </c>
      <c r="X119">
        <f>IF(L119&gt;0,L119,"")</f>
        <v/>
      </c>
      <c r="Y119">
        <f>IF(X119="","",IF(X119&gt;Stats!$B$15,"Outlier",""))</f>
        <v/>
      </c>
      <c r="Z119" t="str">
        <f>P119&amp;" vs "&amp;Q119</f>
        <v>Kings XI Punjab vs Delhi Capitals</v>
      </c>
    </row>
    <row r="120" spans="1:26" x14ac:dyDescent="0.25">
      <c r="A120">
        <v>178</v>
      </c>
      <c r="B120">
        <v>2010</v>
      </c>
      <c r="C120" s="5">
        <v>40251</v>
      </c>
      <c r="D120" t="s">
        <v>172</v>
      </c>
      <c r="E120" t="s">
        <v>46</v>
      </c>
      <c r="F120" t="s">
        <v>32</v>
      </c>
      <c r="G120" t="s">
        <v>32</v>
      </c>
      <c r="H120" t="s">
        <v>173</v>
      </c>
      <c r="I120" t="s">
        <v>174</v>
      </c>
      <c r="J120">
        <v>0</v>
      </c>
      <c r="K120" t="s">
        <v>32</v>
      </c>
      <c r="L120">
        <v>0</v>
      </c>
      <c r="M120">
        <v>7</v>
      </c>
      <c r="N120" t="s">
        <v>248</v>
      </c>
      <c r="O120" t="s">
        <v>73</v>
      </c>
      <c r="P120" t="str">
        <f>INDEX(Teams!$B:$B,MATCH(E120,Teams!$A:$A,0))</f>
        <v>Royal Challengers Bangalore</v>
      </c>
      <c r="Q120" t="str">
        <f>INDEX(Teams!$B:$B,MATCH(F120,Teams!$A:$A,0))</f>
        <v>Kolkata Knight Riders</v>
      </c>
      <c r="R120" t="str">
        <f>INDEX(Teams!$B:$B,MATCH(G120,Teams!$A:$A,0))</f>
        <v>Kolkata Knight Riders</v>
      </c>
      <c r="S120" t="str">
        <f>IF(K120="","No result",INDEX(Teams!$B:$B,MATCH(K120,Teams!$A:$A,0)))</f>
        <v>Kolkata Knight Riders</v>
      </c>
      <c r="T120" t="str">
        <f>INDEX(Venues!$B:$B,MATCH(O120,Venues!$A:$A,0))</f>
        <v>Eden Gardens</v>
      </c>
      <c r="U120" t="str">
        <f>INDEX(Venues!$C:$C,MATCH(O120,Venues!$A:$A,0))</f>
        <v>Kolkata</v>
      </c>
      <c r="V120" t="str">
        <f>IF(L120&gt;0,L120&amp;" runs",IF(M120&gt;0,M120&amp;" wickets","-"))</f>
        <v>7 wickets</v>
      </c>
      <c r="W120">
        <f>IF(G120=K120,1,0)</f>
        <v>1</v>
      </c>
      <c r="X120">
        <f>IF(L120&gt;0,L120,"")</f>
        <v/>
      </c>
      <c r="Y120">
        <f>IF(X120="","",IF(X120&gt;Stats!$B$15,"Outlier",""))</f>
        <v/>
      </c>
      <c r="Z120" t="str">
        <f>P120&amp;" vs "&amp;Q120</f>
        <v>Royal Challengers Bangalore vs Kolkata Knight Riders</v>
      </c>
    </row>
    <row r="121" spans="1:26" x14ac:dyDescent="0.25">
      <c r="A121">
        <v>179</v>
      </c>
      <c r="B121">
        <v>2010</v>
      </c>
      <c r="C121" s="5">
        <v>40251</v>
      </c>
      <c r="D121" t="s">
        <v>172</v>
      </c>
      <c r="E121" t="s">
        <v>16</v>
      </c>
      <c r="F121" t="s">
        <v>12</v>
      </c>
      <c r="G121" t="s">
        <v>16</v>
      </c>
      <c r="H121" t="s">
        <v>176</v>
      </c>
      <c r="I121" t="s">
        <v>174</v>
      </c>
      <c r="J121">
        <v>0</v>
      </c>
      <c r="K121" t="s">
        <v>16</v>
      </c>
      <c r="L121">
        <v>31</v>
      </c>
      <c r="M121">
        <v>0</v>
      </c>
      <c r="N121" t="s">
        <v>249</v>
      </c>
      <c r="O121" t="s">
        <v>94</v>
      </c>
      <c r="P121" t="str">
        <f>INDEX(Teams!$B:$B,MATCH(E121,Teams!$A:$A,0))</f>
        <v>Deccan Chargers</v>
      </c>
      <c r="Q121" t="str">
        <f>INDEX(Teams!$B:$B,MATCH(F121,Teams!$A:$A,0))</f>
        <v>Chennai Super Kings</v>
      </c>
      <c r="R121" t="str">
        <f>INDEX(Teams!$B:$B,MATCH(G121,Teams!$A:$A,0))</f>
        <v>Deccan Chargers</v>
      </c>
      <c r="S121" t="str">
        <f>IF(K121="","No result",INDEX(Teams!$B:$B,MATCH(K121,Teams!$A:$A,0)))</f>
        <v>Deccan Chargers</v>
      </c>
      <c r="T121" t="str">
        <f>INDEX(Venues!$B:$B,MATCH(O121,Venues!$A:$A,0))</f>
        <v>MA Chidambaram Stadium</v>
      </c>
      <c r="U121" t="str">
        <f>INDEX(Venues!$C:$C,MATCH(O121,Venues!$A:$A,0))</f>
        <v>Chennai</v>
      </c>
      <c r="V121" t="str">
        <f>IF(L121&gt;0,L121&amp;" runs",IF(M121&gt;0,M121&amp;" wickets","-"))</f>
        <v>31 runs</v>
      </c>
      <c r="W121">
        <f>IF(G121=K121,1,0)</f>
        <v>1</v>
      </c>
      <c r="X121">
        <f>IF(L121&gt;0,L121,"")</f>
        <v>31</v>
      </c>
      <c r="Y121">
        <f>IF(X121="","",IF(X121&gt;Stats!$B$15,"Outlier",""))</f>
        <v/>
      </c>
      <c r="Z121" t="str">
        <f>P121&amp;" vs "&amp;Q121</f>
        <v>Deccan Chargers vs Chennai Super Kings</v>
      </c>
    </row>
    <row r="122" spans="1:26" x14ac:dyDescent="0.25">
      <c r="A122">
        <v>180</v>
      </c>
      <c r="B122">
        <v>2010</v>
      </c>
      <c r="C122" s="5">
        <v>40252</v>
      </c>
      <c r="D122" t="s">
        <v>172</v>
      </c>
      <c r="E122" t="s">
        <v>41</v>
      </c>
      <c r="F122" t="s">
        <v>20</v>
      </c>
      <c r="G122" t="s">
        <v>20</v>
      </c>
      <c r="H122" t="s">
        <v>173</v>
      </c>
      <c r="I122" t="s">
        <v>174</v>
      </c>
      <c r="J122">
        <v>0</v>
      </c>
      <c r="K122" t="s">
        <v>20</v>
      </c>
      <c r="L122">
        <v>0</v>
      </c>
      <c r="M122">
        <v>6</v>
      </c>
      <c r="N122" t="s">
        <v>182</v>
      </c>
      <c r="O122" t="s">
        <v>113</v>
      </c>
      <c r="P122" t="str">
        <f>INDEX(Teams!$B:$B,MATCH(E122,Teams!$A:$A,0))</f>
        <v>Rajasthan Royals</v>
      </c>
      <c r="Q122" t="str">
        <f>INDEX(Teams!$B:$B,MATCH(F122,Teams!$A:$A,0))</f>
        <v>Delhi Capitals</v>
      </c>
      <c r="R122" t="str">
        <f>INDEX(Teams!$B:$B,MATCH(G122,Teams!$A:$A,0))</f>
        <v>Delhi Capitals</v>
      </c>
      <c r="S122" t="str">
        <f>IF(K122="","No result",INDEX(Teams!$B:$B,MATCH(K122,Teams!$A:$A,0)))</f>
        <v>Delhi Capitals</v>
      </c>
      <c r="T122" t="str">
        <f>INDEX(Venues!$B:$B,MATCH(O122,Venues!$A:$A,0))</f>
        <v>Sardar Patel Stadium</v>
      </c>
      <c r="U122" t="str">
        <f>INDEX(Venues!$C:$C,MATCH(O122,Venues!$A:$A,0))</f>
        <v>Ahmedabad</v>
      </c>
      <c r="V122" t="str">
        <f>IF(L122&gt;0,L122&amp;" runs",IF(M122&gt;0,M122&amp;" wickets","-"))</f>
        <v>6 wickets</v>
      </c>
      <c r="W122">
        <f>IF(G122=K122,1,0)</f>
        <v>1</v>
      </c>
      <c r="X122">
        <f>IF(L122&gt;0,L122,"")</f>
        <v/>
      </c>
      <c r="Y122">
        <f>IF(X122="","",IF(X122&gt;Stats!$B$15,"Outlier",""))</f>
        <v/>
      </c>
      <c r="Z122" t="str">
        <f>P122&amp;" vs "&amp;Q122</f>
        <v>Rajasthan Royals vs Delhi Capitals</v>
      </c>
    </row>
    <row r="123" spans="1:26" x14ac:dyDescent="0.25">
      <c r="A123">
        <v>181</v>
      </c>
      <c r="B123">
        <v>2010</v>
      </c>
      <c r="C123" s="5">
        <v>40253</v>
      </c>
      <c r="D123" t="s">
        <v>172</v>
      </c>
      <c r="E123" t="s">
        <v>26</v>
      </c>
      <c r="F123" t="s">
        <v>46</v>
      </c>
      <c r="G123" t="s">
        <v>26</v>
      </c>
      <c r="H123" t="s">
        <v>176</v>
      </c>
      <c r="I123" t="s">
        <v>174</v>
      </c>
      <c r="J123">
        <v>0</v>
      </c>
      <c r="K123" t="s">
        <v>46</v>
      </c>
      <c r="L123">
        <v>0</v>
      </c>
      <c r="M123">
        <v>8</v>
      </c>
      <c r="N123" t="s">
        <v>233</v>
      </c>
      <c r="O123" t="s">
        <v>92</v>
      </c>
      <c r="P123" t="str">
        <f>INDEX(Teams!$B:$B,MATCH(E123,Teams!$A:$A,0))</f>
        <v>Kings XI Punjab</v>
      </c>
      <c r="Q123" t="str">
        <f>INDEX(Teams!$B:$B,MATCH(F123,Teams!$A:$A,0))</f>
        <v>Royal Challengers Bangalore</v>
      </c>
      <c r="R123" t="str">
        <f>INDEX(Teams!$B:$B,MATCH(G123,Teams!$A:$A,0))</f>
        <v>Kings XI Punjab</v>
      </c>
      <c r="S123" t="str">
        <f>IF(K123="","No result",INDEX(Teams!$B:$B,MATCH(K123,Teams!$A:$A,0)))</f>
        <v>Royal Challengers Bangalore</v>
      </c>
      <c r="T123" t="str">
        <f>INDEX(Venues!$B:$B,MATCH(O123,Venues!$A:$A,0))</f>
        <v>M Chinnaswamy Stadium</v>
      </c>
      <c r="U123" t="str">
        <f>INDEX(Venues!$C:$C,MATCH(O123,Venues!$A:$A,0))</f>
        <v>Bangalore</v>
      </c>
      <c r="V123" t="str">
        <f>IF(L123&gt;0,L123&amp;" runs",IF(M123&gt;0,M123&amp;" wickets","-"))</f>
        <v>8 wickets</v>
      </c>
      <c r="W123">
        <f>IF(G123=K123,1,0)</f>
        <v>0</v>
      </c>
      <c r="X123">
        <f>IF(L123&gt;0,L123,"")</f>
        <v/>
      </c>
      <c r="Y123">
        <f>IF(X123="","",IF(X123&gt;Stats!$B$15,"Outlier",""))</f>
        <v/>
      </c>
      <c r="Z123" t="str">
        <f>P123&amp;" vs "&amp;Q123</f>
        <v>Kings XI Punjab vs Royal Challengers Bangalore</v>
      </c>
    </row>
    <row r="124" spans="1:26" x14ac:dyDescent="0.25">
      <c r="A124">
        <v>182</v>
      </c>
      <c r="B124">
        <v>2010</v>
      </c>
      <c r="C124" s="5">
        <v>40253</v>
      </c>
      <c r="D124" t="s">
        <v>172</v>
      </c>
      <c r="E124" t="s">
        <v>12</v>
      </c>
      <c r="F124" t="s">
        <v>32</v>
      </c>
      <c r="G124" t="s">
        <v>12</v>
      </c>
      <c r="H124" t="s">
        <v>176</v>
      </c>
      <c r="I124" t="s">
        <v>174</v>
      </c>
      <c r="J124">
        <v>0</v>
      </c>
      <c r="K124" t="s">
        <v>12</v>
      </c>
      <c r="L124">
        <v>55</v>
      </c>
      <c r="M124">
        <v>0</v>
      </c>
      <c r="N124" t="s">
        <v>189</v>
      </c>
      <c r="O124" t="s">
        <v>73</v>
      </c>
      <c r="P124" t="str">
        <f>INDEX(Teams!$B:$B,MATCH(E124,Teams!$A:$A,0))</f>
        <v>Chennai Super Kings</v>
      </c>
      <c r="Q124" t="str">
        <f>INDEX(Teams!$B:$B,MATCH(F124,Teams!$A:$A,0))</f>
        <v>Kolkata Knight Riders</v>
      </c>
      <c r="R124" t="str">
        <f>INDEX(Teams!$B:$B,MATCH(G124,Teams!$A:$A,0))</f>
        <v>Chennai Super Kings</v>
      </c>
      <c r="S124" t="str">
        <f>IF(K124="","No result",INDEX(Teams!$B:$B,MATCH(K124,Teams!$A:$A,0)))</f>
        <v>Chennai Super Kings</v>
      </c>
      <c r="T124" t="str">
        <f>INDEX(Venues!$B:$B,MATCH(O124,Venues!$A:$A,0))</f>
        <v>Eden Gardens</v>
      </c>
      <c r="U124" t="str">
        <f>INDEX(Venues!$C:$C,MATCH(O124,Venues!$A:$A,0))</f>
        <v>Kolkata</v>
      </c>
      <c r="V124" t="str">
        <f>IF(L124&gt;0,L124&amp;" runs",IF(M124&gt;0,M124&amp;" wickets","-"))</f>
        <v>55 runs</v>
      </c>
      <c r="W124">
        <f>IF(G124=K124,1,0)</f>
        <v>1</v>
      </c>
      <c r="X124">
        <f>IF(L124&gt;0,L124,"")</f>
        <v>55</v>
      </c>
      <c r="Y124">
        <f>IF(X124="","",IF(X124&gt;Stats!$B$15,"Outlier",""))</f>
        <v/>
      </c>
      <c r="Z124" t="str">
        <f>P124&amp;" vs "&amp;Q124</f>
        <v>Chennai Super Kings vs Kolkata Knight Riders</v>
      </c>
    </row>
    <row r="125" spans="1:26" x14ac:dyDescent="0.25">
      <c r="A125">
        <v>183</v>
      </c>
      <c r="B125">
        <v>2010</v>
      </c>
      <c r="C125" s="5">
        <v>40254</v>
      </c>
      <c r="D125" t="s">
        <v>172</v>
      </c>
      <c r="E125" t="s">
        <v>35</v>
      </c>
      <c r="F125" t="s">
        <v>20</v>
      </c>
      <c r="G125" t="s">
        <v>20</v>
      </c>
      <c r="H125" t="s">
        <v>173</v>
      </c>
      <c r="I125" t="s">
        <v>174</v>
      </c>
      <c r="J125">
        <v>0</v>
      </c>
      <c r="K125" t="s">
        <v>35</v>
      </c>
      <c r="L125">
        <v>98</v>
      </c>
      <c r="M125">
        <v>0</v>
      </c>
      <c r="N125" t="s">
        <v>217</v>
      </c>
      <c r="O125" t="s">
        <v>75</v>
      </c>
      <c r="P125" t="str">
        <f>INDEX(Teams!$B:$B,MATCH(E125,Teams!$A:$A,0))</f>
        <v>Mumbai Indians</v>
      </c>
      <c r="Q125" t="str">
        <f>INDEX(Teams!$B:$B,MATCH(F125,Teams!$A:$A,0))</f>
        <v>Delhi Capitals</v>
      </c>
      <c r="R125" t="str">
        <f>INDEX(Teams!$B:$B,MATCH(G125,Teams!$A:$A,0))</f>
        <v>Delhi Capitals</v>
      </c>
      <c r="S125" t="str">
        <f>IF(K125="","No result",INDEX(Teams!$B:$B,MATCH(K125,Teams!$A:$A,0)))</f>
        <v>Mumbai Indians</v>
      </c>
      <c r="T125" t="str">
        <f>INDEX(Venues!$B:$B,MATCH(O125,Venues!$A:$A,0))</f>
        <v>Feroz Shah Kotla</v>
      </c>
      <c r="U125" t="str">
        <f>INDEX(Venues!$C:$C,MATCH(O125,Venues!$A:$A,0))</f>
        <v>Delhi</v>
      </c>
      <c r="V125" t="str">
        <f>IF(L125&gt;0,L125&amp;" runs",IF(M125&gt;0,M125&amp;" wickets","-"))</f>
        <v>98 runs</v>
      </c>
      <c r="W125">
        <f>IF(G125=K125,1,0)</f>
        <v>0</v>
      </c>
      <c r="X125">
        <f>IF(L125&gt;0,L125,"")</f>
        <v>98</v>
      </c>
      <c r="Y125" t="str">
        <f>IF(X125="","",IF(X125&gt;Stats!$B$15,"Outlier",""))</f>
        <v>Outlier</v>
      </c>
      <c r="Z125" t="str">
        <f>P125&amp;" vs "&amp;Q125</f>
        <v>Mumbai Indians vs Delhi Capitals</v>
      </c>
    </row>
    <row r="126" spans="1:26" x14ac:dyDescent="0.25">
      <c r="A126">
        <v>184</v>
      </c>
      <c r="B126">
        <v>2010</v>
      </c>
      <c r="C126" s="5">
        <v>40255</v>
      </c>
      <c r="D126" t="s">
        <v>172</v>
      </c>
      <c r="E126" t="s">
        <v>41</v>
      </c>
      <c r="F126" t="s">
        <v>46</v>
      </c>
      <c r="G126" t="s">
        <v>46</v>
      </c>
      <c r="H126" t="s">
        <v>173</v>
      </c>
      <c r="I126" t="s">
        <v>174</v>
      </c>
      <c r="J126">
        <v>0</v>
      </c>
      <c r="K126" t="s">
        <v>46</v>
      </c>
      <c r="L126">
        <v>0</v>
      </c>
      <c r="M126">
        <v>10</v>
      </c>
      <c r="N126" t="s">
        <v>233</v>
      </c>
      <c r="O126" t="s">
        <v>92</v>
      </c>
      <c r="P126" t="str">
        <f>INDEX(Teams!$B:$B,MATCH(E126,Teams!$A:$A,0))</f>
        <v>Rajasthan Royals</v>
      </c>
      <c r="Q126" t="str">
        <f>INDEX(Teams!$B:$B,MATCH(F126,Teams!$A:$A,0))</f>
        <v>Royal Challengers Bangalore</v>
      </c>
      <c r="R126" t="str">
        <f>INDEX(Teams!$B:$B,MATCH(G126,Teams!$A:$A,0))</f>
        <v>Royal Challengers Bangalore</v>
      </c>
      <c r="S126" t="str">
        <f>IF(K126="","No result",INDEX(Teams!$B:$B,MATCH(K126,Teams!$A:$A,0)))</f>
        <v>Royal Challengers Bangalore</v>
      </c>
      <c r="T126" t="str">
        <f>INDEX(Venues!$B:$B,MATCH(O126,Venues!$A:$A,0))</f>
        <v>M Chinnaswamy Stadium</v>
      </c>
      <c r="U126" t="str">
        <f>INDEX(Venues!$C:$C,MATCH(O126,Venues!$A:$A,0))</f>
        <v>Bangalore</v>
      </c>
      <c r="V126" t="str">
        <f>IF(L126&gt;0,L126&amp;" runs",IF(M126&gt;0,M126&amp;" wickets","-"))</f>
        <v>10 wickets</v>
      </c>
      <c r="W126">
        <f>IF(G126=K126,1,0)</f>
        <v>1</v>
      </c>
      <c r="X126">
        <f>IF(L126&gt;0,L126,"")</f>
        <v/>
      </c>
      <c r="Y126">
        <f>IF(X126="","",IF(X126&gt;Stats!$B$15,"Outlier",""))</f>
        <v/>
      </c>
      <c r="Z126" t="str">
        <f>P126&amp;" vs "&amp;Q126</f>
        <v>Rajasthan Royals vs Royal Challengers Bangalore</v>
      </c>
    </row>
    <row r="127" spans="1:26" x14ac:dyDescent="0.25">
      <c r="A127">
        <v>185</v>
      </c>
      <c r="B127">
        <v>2010</v>
      </c>
      <c r="C127" s="5">
        <v>40256</v>
      </c>
      <c r="D127" t="s">
        <v>172</v>
      </c>
      <c r="E127" t="s">
        <v>20</v>
      </c>
      <c r="F127" t="s">
        <v>12</v>
      </c>
      <c r="G127" t="s">
        <v>20</v>
      </c>
      <c r="H127" t="s">
        <v>176</v>
      </c>
      <c r="I127" t="s">
        <v>174</v>
      </c>
      <c r="J127">
        <v>0</v>
      </c>
      <c r="K127" t="s">
        <v>12</v>
      </c>
      <c r="L127">
        <v>0</v>
      </c>
      <c r="M127">
        <v>5</v>
      </c>
      <c r="N127" t="s">
        <v>183</v>
      </c>
      <c r="O127" t="s">
        <v>75</v>
      </c>
      <c r="P127" t="str">
        <f>INDEX(Teams!$B:$B,MATCH(E127,Teams!$A:$A,0))</f>
        <v>Delhi Capitals</v>
      </c>
      <c r="Q127" t="str">
        <f>INDEX(Teams!$B:$B,MATCH(F127,Teams!$A:$A,0))</f>
        <v>Chennai Super Kings</v>
      </c>
      <c r="R127" t="str">
        <f>INDEX(Teams!$B:$B,MATCH(G127,Teams!$A:$A,0))</f>
        <v>Delhi Capitals</v>
      </c>
      <c r="S127" t="str">
        <f>IF(K127="","No result",INDEX(Teams!$B:$B,MATCH(K127,Teams!$A:$A,0)))</f>
        <v>Chennai Super Kings</v>
      </c>
      <c r="T127" t="str">
        <f>INDEX(Venues!$B:$B,MATCH(O127,Venues!$A:$A,0))</f>
        <v>Feroz Shah Kotla</v>
      </c>
      <c r="U127" t="str">
        <f>INDEX(Venues!$C:$C,MATCH(O127,Venues!$A:$A,0))</f>
        <v>Delhi</v>
      </c>
      <c r="V127" t="str">
        <f>IF(L127&gt;0,L127&amp;" runs",IF(M127&gt;0,M127&amp;" wickets","-"))</f>
        <v>5 wickets</v>
      </c>
      <c r="W127">
        <f>IF(G127=K127,1,0)</f>
        <v>0</v>
      </c>
      <c r="X127">
        <f>IF(L127&gt;0,L127,"")</f>
        <v/>
      </c>
      <c r="Y127">
        <f>IF(X127="","",IF(X127&gt;Stats!$B$15,"Outlier",""))</f>
        <v/>
      </c>
      <c r="Z127" t="str">
        <f>P127&amp;" vs "&amp;Q127</f>
        <v>Delhi Capitals vs Chennai Super Kings</v>
      </c>
    </row>
    <row r="128" spans="1:26" x14ac:dyDescent="0.25">
      <c r="A128">
        <v>186</v>
      </c>
      <c r="B128">
        <v>2010</v>
      </c>
      <c r="C128" s="5">
        <v>40256</v>
      </c>
      <c r="D128" t="s">
        <v>172</v>
      </c>
      <c r="E128" t="s">
        <v>16</v>
      </c>
      <c r="F128" t="s">
        <v>26</v>
      </c>
      <c r="G128" t="s">
        <v>26</v>
      </c>
      <c r="H128" t="s">
        <v>173</v>
      </c>
      <c r="I128" t="s">
        <v>174</v>
      </c>
      <c r="J128">
        <v>0</v>
      </c>
      <c r="K128" t="s">
        <v>16</v>
      </c>
      <c r="L128">
        <v>6</v>
      </c>
      <c r="M128">
        <v>0</v>
      </c>
      <c r="N128" t="s">
        <v>250</v>
      </c>
      <c r="O128" t="s">
        <v>54</v>
      </c>
      <c r="P128" t="str">
        <f>INDEX(Teams!$B:$B,MATCH(E128,Teams!$A:$A,0))</f>
        <v>Deccan Chargers</v>
      </c>
      <c r="Q128" t="str">
        <f>INDEX(Teams!$B:$B,MATCH(F128,Teams!$A:$A,0))</f>
        <v>Kings XI Punjab</v>
      </c>
      <c r="R128" t="str">
        <f>INDEX(Teams!$B:$B,MATCH(G128,Teams!$A:$A,0))</f>
        <v>Kings XI Punjab</v>
      </c>
      <c r="S128" t="str">
        <f>IF(K128="","No result",INDEX(Teams!$B:$B,MATCH(K128,Teams!$A:$A,0)))</f>
        <v>Deccan Chargers</v>
      </c>
      <c r="T128" t="str">
        <f>INDEX(Venues!$B:$B,MATCH(O128,Venues!$A:$A,0))</f>
        <v>Barabati Stadium</v>
      </c>
      <c r="U128" t="str">
        <f>INDEX(Venues!$C:$C,MATCH(O128,Venues!$A:$A,0))</f>
        <v>Cuttack</v>
      </c>
      <c r="V128" t="str">
        <f>IF(L128&gt;0,L128&amp;" runs",IF(M128&gt;0,M128&amp;" wickets","-"))</f>
        <v>6 runs</v>
      </c>
      <c r="W128">
        <f>IF(G128=K128,1,0)</f>
        <v>0</v>
      </c>
      <c r="X128">
        <f>IF(L128&gt;0,L128,"")</f>
        <v>6</v>
      </c>
      <c r="Y128">
        <f>IF(X128="","",IF(X128&gt;Stats!$B$15,"Outlier",""))</f>
        <v/>
      </c>
      <c r="Z128" t="str">
        <f>P128&amp;" vs "&amp;Q128</f>
        <v>Deccan Chargers vs Kings XI Punjab</v>
      </c>
    </row>
    <row r="129" spans="1:26" x14ac:dyDescent="0.25">
      <c r="A129">
        <v>187</v>
      </c>
      <c r="B129">
        <v>2010</v>
      </c>
      <c r="C129" s="5">
        <v>40257</v>
      </c>
      <c r="D129" t="s">
        <v>172</v>
      </c>
      <c r="E129" t="s">
        <v>41</v>
      </c>
      <c r="F129" t="s">
        <v>32</v>
      </c>
      <c r="G129" t="s">
        <v>41</v>
      </c>
      <c r="H129" t="s">
        <v>176</v>
      </c>
      <c r="I129" t="s">
        <v>174</v>
      </c>
      <c r="J129">
        <v>0</v>
      </c>
      <c r="K129" t="s">
        <v>41</v>
      </c>
      <c r="L129">
        <v>34</v>
      </c>
      <c r="M129">
        <v>0</v>
      </c>
      <c r="N129" t="s">
        <v>251</v>
      </c>
      <c r="O129" t="s">
        <v>113</v>
      </c>
      <c r="P129" t="str">
        <f>INDEX(Teams!$B:$B,MATCH(E129,Teams!$A:$A,0))</f>
        <v>Rajasthan Royals</v>
      </c>
      <c r="Q129" t="str">
        <f>INDEX(Teams!$B:$B,MATCH(F129,Teams!$A:$A,0))</f>
        <v>Kolkata Knight Riders</v>
      </c>
      <c r="R129" t="str">
        <f>INDEX(Teams!$B:$B,MATCH(G129,Teams!$A:$A,0))</f>
        <v>Rajasthan Royals</v>
      </c>
      <c r="S129" t="str">
        <f>IF(K129="","No result",INDEX(Teams!$B:$B,MATCH(K129,Teams!$A:$A,0)))</f>
        <v>Rajasthan Royals</v>
      </c>
      <c r="T129" t="str">
        <f>INDEX(Venues!$B:$B,MATCH(O129,Venues!$A:$A,0))</f>
        <v>Sardar Patel Stadium</v>
      </c>
      <c r="U129" t="str">
        <f>INDEX(Venues!$C:$C,MATCH(O129,Venues!$A:$A,0))</f>
        <v>Ahmedabad</v>
      </c>
      <c r="V129" t="str">
        <f>IF(L129&gt;0,L129&amp;" runs",IF(M129&gt;0,M129&amp;" wickets","-"))</f>
        <v>34 runs</v>
      </c>
      <c r="W129">
        <f>IF(G129=K129,1,0)</f>
        <v>1</v>
      </c>
      <c r="X129">
        <f>IF(L129&gt;0,L129,"")</f>
        <v>34</v>
      </c>
      <c r="Y129">
        <f>IF(X129="","",IF(X129&gt;Stats!$B$15,"Outlier",""))</f>
        <v/>
      </c>
      <c r="Z129" t="str">
        <f>P129&amp;" vs "&amp;Q129</f>
        <v>Rajasthan Royals vs Kolkata Knight Riders</v>
      </c>
    </row>
    <row r="130" spans="1:26" x14ac:dyDescent="0.25">
      <c r="A130">
        <v>188</v>
      </c>
      <c r="B130">
        <v>2010</v>
      </c>
      <c r="C130" s="5">
        <v>40257</v>
      </c>
      <c r="D130" t="s">
        <v>172</v>
      </c>
      <c r="E130" t="s">
        <v>35</v>
      </c>
      <c r="F130" t="s">
        <v>46</v>
      </c>
      <c r="G130" t="s">
        <v>35</v>
      </c>
      <c r="H130" t="s">
        <v>176</v>
      </c>
      <c r="I130" t="s">
        <v>174</v>
      </c>
      <c r="J130">
        <v>0</v>
      </c>
      <c r="K130" t="s">
        <v>46</v>
      </c>
      <c r="L130">
        <v>0</v>
      </c>
      <c r="M130">
        <v>7</v>
      </c>
      <c r="N130" t="s">
        <v>233</v>
      </c>
      <c r="O130" t="s">
        <v>57</v>
      </c>
      <c r="P130" t="str">
        <f>INDEX(Teams!$B:$B,MATCH(E130,Teams!$A:$A,0))</f>
        <v>Mumbai Indians</v>
      </c>
      <c r="Q130" t="str">
        <f>INDEX(Teams!$B:$B,MATCH(F130,Teams!$A:$A,0))</f>
        <v>Royal Challengers Bangalore</v>
      </c>
      <c r="R130" t="str">
        <f>INDEX(Teams!$B:$B,MATCH(G130,Teams!$A:$A,0))</f>
        <v>Mumbai Indians</v>
      </c>
      <c r="S130" t="str">
        <f>IF(K130="","No result",INDEX(Teams!$B:$B,MATCH(K130,Teams!$A:$A,0)))</f>
        <v>Royal Challengers Bangalore</v>
      </c>
      <c r="T130" t="str">
        <f>INDEX(Venues!$B:$B,MATCH(O130,Venues!$A:$A,0))</f>
        <v>Brabourne Stadium</v>
      </c>
      <c r="U130" t="str">
        <f>INDEX(Venues!$C:$C,MATCH(O130,Venues!$A:$A,0))</f>
        <v>Mumbai</v>
      </c>
      <c r="V130" t="str">
        <f>IF(L130&gt;0,L130&amp;" runs",IF(M130&gt;0,M130&amp;" wickets","-"))</f>
        <v>7 wickets</v>
      </c>
      <c r="W130">
        <f>IF(G130=K130,1,0)</f>
        <v>0</v>
      </c>
      <c r="X130">
        <f>IF(L130&gt;0,L130,"")</f>
        <v/>
      </c>
      <c r="Y130">
        <f>IF(X130="","",IF(X130&gt;Stats!$B$15,"Outlier",""))</f>
        <v/>
      </c>
      <c r="Z130" t="str">
        <f>P130&amp;" vs "&amp;Q130</f>
        <v>Mumbai Indians vs Royal Challengers Bangalore</v>
      </c>
    </row>
    <row r="131" spans="1:26" x14ac:dyDescent="0.25">
      <c r="A131">
        <v>189</v>
      </c>
      <c r="B131">
        <v>2010</v>
      </c>
      <c r="C131" s="5">
        <v>40258</v>
      </c>
      <c r="D131" t="s">
        <v>172</v>
      </c>
      <c r="E131" t="s">
        <v>16</v>
      </c>
      <c r="F131" t="s">
        <v>20</v>
      </c>
      <c r="G131" t="s">
        <v>16</v>
      </c>
      <c r="H131" t="s">
        <v>176</v>
      </c>
      <c r="I131" t="s">
        <v>174</v>
      </c>
      <c r="J131">
        <v>0</v>
      </c>
      <c r="K131" t="s">
        <v>16</v>
      </c>
      <c r="L131">
        <v>10</v>
      </c>
      <c r="M131">
        <v>0</v>
      </c>
      <c r="N131" t="s">
        <v>250</v>
      </c>
      <c r="O131" t="s">
        <v>54</v>
      </c>
      <c r="P131" t="str">
        <f>INDEX(Teams!$B:$B,MATCH(E131,Teams!$A:$A,0))</f>
        <v>Deccan Chargers</v>
      </c>
      <c r="Q131" t="str">
        <f>INDEX(Teams!$B:$B,MATCH(F131,Teams!$A:$A,0))</f>
        <v>Delhi Capitals</v>
      </c>
      <c r="R131" t="str">
        <f>INDEX(Teams!$B:$B,MATCH(G131,Teams!$A:$A,0))</f>
        <v>Deccan Chargers</v>
      </c>
      <c r="S131" t="str">
        <f>IF(K131="","No result",INDEX(Teams!$B:$B,MATCH(K131,Teams!$A:$A,0)))</f>
        <v>Deccan Chargers</v>
      </c>
      <c r="T131" t="str">
        <f>INDEX(Venues!$B:$B,MATCH(O131,Venues!$A:$A,0))</f>
        <v>Barabati Stadium</v>
      </c>
      <c r="U131" t="str">
        <f>INDEX(Venues!$C:$C,MATCH(O131,Venues!$A:$A,0))</f>
        <v>Cuttack</v>
      </c>
      <c r="V131" t="str">
        <f>IF(L131&gt;0,L131&amp;" runs",IF(M131&gt;0,M131&amp;" wickets","-"))</f>
        <v>10 runs</v>
      </c>
      <c r="W131">
        <f>IF(G131=K131,1,0)</f>
        <v>1</v>
      </c>
      <c r="X131">
        <f>IF(L131&gt;0,L131,"")</f>
        <v>10</v>
      </c>
      <c r="Y131">
        <f>IF(X131="","",IF(X131&gt;Stats!$B$15,"Outlier",""))</f>
        <v/>
      </c>
      <c r="Z131" t="str">
        <f>P131&amp;" vs "&amp;Q131</f>
        <v>Deccan Chargers vs Delhi Capitals</v>
      </c>
    </row>
    <row r="132" spans="1:26" x14ac:dyDescent="0.25">
      <c r="A132">
        <v>190</v>
      </c>
      <c r="B132">
        <v>2010</v>
      </c>
      <c r="C132" s="5">
        <v>40258</v>
      </c>
      <c r="D132" t="s">
        <v>172</v>
      </c>
      <c r="E132" t="s">
        <v>26</v>
      </c>
      <c r="F132" t="s">
        <v>12</v>
      </c>
      <c r="G132" t="s">
        <v>12</v>
      </c>
      <c r="H132" t="s">
        <v>173</v>
      </c>
      <c r="I132" t="s">
        <v>224</v>
      </c>
      <c r="J132">
        <v>0</v>
      </c>
      <c r="K132" t="s">
        <v>26</v>
      </c>
      <c r="L132">
        <v>0</v>
      </c>
      <c r="M132">
        <v>0</v>
      </c>
      <c r="N132" t="s">
        <v>252</v>
      </c>
      <c r="O132" t="s">
        <v>94</v>
      </c>
      <c r="P132" t="str">
        <f>INDEX(Teams!$B:$B,MATCH(E132,Teams!$A:$A,0))</f>
        <v>Kings XI Punjab</v>
      </c>
      <c r="Q132" t="str">
        <f>INDEX(Teams!$B:$B,MATCH(F132,Teams!$A:$A,0))</f>
        <v>Chennai Super Kings</v>
      </c>
      <c r="R132" t="str">
        <f>INDEX(Teams!$B:$B,MATCH(G132,Teams!$A:$A,0))</f>
        <v>Chennai Super Kings</v>
      </c>
      <c r="S132" t="str">
        <f>IF(K132="","No result",INDEX(Teams!$B:$B,MATCH(K132,Teams!$A:$A,0)))</f>
        <v>Kings XI Punjab</v>
      </c>
      <c r="T132" t="str">
        <f>INDEX(Venues!$B:$B,MATCH(O132,Venues!$A:$A,0))</f>
        <v>MA Chidambaram Stadium</v>
      </c>
      <c r="U132" t="str">
        <f>INDEX(Venues!$C:$C,MATCH(O132,Venues!$A:$A,0))</f>
        <v>Chennai</v>
      </c>
      <c r="V132" t="str">
        <f>IF(L132&gt;0,L132&amp;" runs",IF(M132&gt;0,M132&amp;" wickets","-"))</f>
        <v>-</v>
      </c>
      <c r="W132">
        <f>IF(G132=K132,1,0)</f>
        <v>0</v>
      </c>
      <c r="X132">
        <f>IF(L132&gt;0,L132,"")</f>
        <v/>
      </c>
      <c r="Y132">
        <f>IF(X132="","",IF(X132&gt;Stats!$B$15,"Outlier",""))</f>
        <v/>
      </c>
      <c r="Z132" t="str">
        <f>P132&amp;" vs "&amp;Q132</f>
        <v>Kings XI Punjab vs Chennai Super Kings</v>
      </c>
    </row>
    <row r="133" spans="1:26" x14ac:dyDescent="0.25">
      <c r="A133">
        <v>191</v>
      </c>
      <c r="B133">
        <v>2010</v>
      </c>
      <c r="C133" s="5">
        <v>40259</v>
      </c>
      <c r="D133" t="s">
        <v>172</v>
      </c>
      <c r="E133" t="s">
        <v>32</v>
      </c>
      <c r="F133" t="s">
        <v>35</v>
      </c>
      <c r="G133" t="s">
        <v>32</v>
      </c>
      <c r="H133" t="s">
        <v>176</v>
      </c>
      <c r="I133" t="s">
        <v>174</v>
      </c>
      <c r="J133">
        <v>0</v>
      </c>
      <c r="K133" t="s">
        <v>35</v>
      </c>
      <c r="L133">
        <v>0</v>
      </c>
      <c r="M133">
        <v>7</v>
      </c>
      <c r="N133" t="s">
        <v>217</v>
      </c>
      <c r="O133" t="s">
        <v>57</v>
      </c>
      <c r="P133" t="str">
        <f>INDEX(Teams!$B:$B,MATCH(E133,Teams!$A:$A,0))</f>
        <v>Kolkata Knight Riders</v>
      </c>
      <c r="Q133" t="str">
        <f>INDEX(Teams!$B:$B,MATCH(F133,Teams!$A:$A,0))</f>
        <v>Mumbai Indians</v>
      </c>
      <c r="R133" t="str">
        <f>INDEX(Teams!$B:$B,MATCH(G133,Teams!$A:$A,0))</f>
        <v>Kolkata Knight Riders</v>
      </c>
      <c r="S133" t="str">
        <f>IF(K133="","No result",INDEX(Teams!$B:$B,MATCH(K133,Teams!$A:$A,0)))</f>
        <v>Mumbai Indians</v>
      </c>
      <c r="T133" t="str">
        <f>INDEX(Venues!$B:$B,MATCH(O133,Venues!$A:$A,0))</f>
        <v>Brabourne Stadium</v>
      </c>
      <c r="U133" t="str">
        <f>INDEX(Venues!$C:$C,MATCH(O133,Venues!$A:$A,0))</f>
        <v>Mumbai</v>
      </c>
      <c r="V133" t="str">
        <f>IF(L133&gt;0,L133&amp;" runs",IF(M133&gt;0,M133&amp;" wickets","-"))</f>
        <v>7 wickets</v>
      </c>
      <c r="W133">
        <f>IF(G133=K133,1,0)</f>
        <v>0</v>
      </c>
      <c r="X133">
        <f>IF(L133&gt;0,L133,"")</f>
        <v/>
      </c>
      <c r="Y133">
        <f>IF(X133="","",IF(X133&gt;Stats!$B$15,"Outlier",""))</f>
        <v/>
      </c>
      <c r="Z133" t="str">
        <f>P133&amp;" vs "&amp;Q133</f>
        <v>Kolkata Knight Riders vs Mumbai Indians</v>
      </c>
    </row>
    <row r="134" spans="1:26" x14ac:dyDescent="0.25">
      <c r="A134">
        <v>192</v>
      </c>
      <c r="B134">
        <v>2010</v>
      </c>
      <c r="C134" s="5">
        <v>40260</v>
      </c>
      <c r="D134" t="s">
        <v>172</v>
      </c>
      <c r="E134" t="s">
        <v>46</v>
      </c>
      <c r="F134" t="s">
        <v>12</v>
      </c>
      <c r="G134" t="s">
        <v>12</v>
      </c>
      <c r="H134" t="s">
        <v>173</v>
      </c>
      <c r="I134" t="s">
        <v>174</v>
      </c>
      <c r="J134">
        <v>0</v>
      </c>
      <c r="K134" t="s">
        <v>46</v>
      </c>
      <c r="L134">
        <v>36</v>
      </c>
      <c r="M134">
        <v>0</v>
      </c>
      <c r="N134" t="s">
        <v>253</v>
      </c>
      <c r="O134" t="s">
        <v>92</v>
      </c>
      <c r="P134" t="str">
        <f>INDEX(Teams!$B:$B,MATCH(E134,Teams!$A:$A,0))</f>
        <v>Royal Challengers Bangalore</v>
      </c>
      <c r="Q134" t="str">
        <f>INDEX(Teams!$B:$B,MATCH(F134,Teams!$A:$A,0))</f>
        <v>Chennai Super Kings</v>
      </c>
      <c r="R134" t="str">
        <f>INDEX(Teams!$B:$B,MATCH(G134,Teams!$A:$A,0))</f>
        <v>Chennai Super Kings</v>
      </c>
      <c r="S134" t="str">
        <f>IF(K134="","No result",INDEX(Teams!$B:$B,MATCH(K134,Teams!$A:$A,0)))</f>
        <v>Royal Challengers Bangalore</v>
      </c>
      <c r="T134" t="str">
        <f>INDEX(Venues!$B:$B,MATCH(O134,Venues!$A:$A,0))</f>
        <v>M Chinnaswamy Stadium</v>
      </c>
      <c r="U134" t="str">
        <f>INDEX(Venues!$C:$C,MATCH(O134,Venues!$A:$A,0))</f>
        <v>Bangalore</v>
      </c>
      <c r="V134" t="str">
        <f>IF(L134&gt;0,L134&amp;" runs",IF(M134&gt;0,M134&amp;" wickets","-"))</f>
        <v>36 runs</v>
      </c>
      <c r="W134">
        <f>IF(G134=K134,1,0)</f>
        <v>0</v>
      </c>
      <c r="X134">
        <f>IF(L134&gt;0,L134,"")</f>
        <v>36</v>
      </c>
      <c r="Y134">
        <f>IF(X134="","",IF(X134&gt;Stats!$B$15,"Outlier",""))</f>
        <v/>
      </c>
      <c r="Z134" t="str">
        <f>P134&amp;" vs "&amp;Q134</f>
        <v>Royal Challengers Bangalore vs Chennai Super Kings</v>
      </c>
    </row>
    <row r="135" spans="1:26" x14ac:dyDescent="0.25">
      <c r="A135">
        <v>193</v>
      </c>
      <c r="B135">
        <v>2010</v>
      </c>
      <c r="C135" s="5">
        <v>40261</v>
      </c>
      <c r="D135" t="s">
        <v>172</v>
      </c>
      <c r="E135" t="s">
        <v>41</v>
      </c>
      <c r="F135" t="s">
        <v>26</v>
      </c>
      <c r="G135" t="s">
        <v>26</v>
      </c>
      <c r="H135" t="s">
        <v>173</v>
      </c>
      <c r="I135" t="s">
        <v>174</v>
      </c>
      <c r="J135">
        <v>0</v>
      </c>
      <c r="K135" t="s">
        <v>41</v>
      </c>
      <c r="L135">
        <v>31</v>
      </c>
      <c r="M135">
        <v>0</v>
      </c>
      <c r="N135" t="s">
        <v>254</v>
      </c>
      <c r="O135" t="s">
        <v>109</v>
      </c>
      <c r="P135" t="str">
        <f>INDEX(Teams!$B:$B,MATCH(E135,Teams!$A:$A,0))</f>
        <v>Rajasthan Royals</v>
      </c>
      <c r="Q135" t="str">
        <f>INDEX(Teams!$B:$B,MATCH(F135,Teams!$A:$A,0))</f>
        <v>Kings XI Punjab</v>
      </c>
      <c r="R135" t="str">
        <f>INDEX(Teams!$B:$B,MATCH(G135,Teams!$A:$A,0))</f>
        <v>Kings XI Punjab</v>
      </c>
      <c r="S135" t="str">
        <f>IF(K135="","No result",INDEX(Teams!$B:$B,MATCH(K135,Teams!$A:$A,0)))</f>
        <v>Rajasthan Royals</v>
      </c>
      <c r="T135" t="str">
        <f>INDEX(Venues!$B:$B,MATCH(O135,Venues!$A:$A,0))</f>
        <v>Punjab Cricket Association IS Bindra Stadium</v>
      </c>
      <c r="U135" t="str">
        <f>INDEX(Venues!$C:$C,MATCH(O135,Venues!$A:$A,0))</f>
        <v>Chandigarh</v>
      </c>
      <c r="V135" t="str">
        <f>IF(L135&gt;0,L135&amp;" runs",IF(M135&gt;0,M135&amp;" wickets","-"))</f>
        <v>31 runs</v>
      </c>
      <c r="W135">
        <f>IF(G135=K135,1,0)</f>
        <v>0</v>
      </c>
      <c r="X135">
        <f>IF(L135&gt;0,L135,"")</f>
        <v>31</v>
      </c>
      <c r="Y135">
        <f>IF(X135="","",IF(X135&gt;Stats!$B$15,"Outlier",""))</f>
        <v/>
      </c>
      <c r="Z135" t="str">
        <f>P135&amp;" vs "&amp;Q135</f>
        <v>Rajasthan Royals vs Kings XI Punjab</v>
      </c>
    </row>
    <row r="136" spans="1:26" x14ac:dyDescent="0.25">
      <c r="A136">
        <v>194</v>
      </c>
      <c r="B136">
        <v>2010</v>
      </c>
      <c r="C136" s="5">
        <v>40262</v>
      </c>
      <c r="D136" t="s">
        <v>172</v>
      </c>
      <c r="E136" t="s">
        <v>12</v>
      </c>
      <c r="F136" t="s">
        <v>35</v>
      </c>
      <c r="G136" t="s">
        <v>35</v>
      </c>
      <c r="H136" t="s">
        <v>173</v>
      </c>
      <c r="I136" t="s">
        <v>174</v>
      </c>
      <c r="J136">
        <v>0</v>
      </c>
      <c r="K136" t="s">
        <v>35</v>
      </c>
      <c r="L136">
        <v>0</v>
      </c>
      <c r="M136">
        <v>5</v>
      </c>
      <c r="N136" t="s">
        <v>217</v>
      </c>
      <c r="O136" t="s">
        <v>57</v>
      </c>
      <c r="P136" t="str">
        <f>INDEX(Teams!$B:$B,MATCH(E136,Teams!$A:$A,0))</f>
        <v>Chennai Super Kings</v>
      </c>
      <c r="Q136" t="str">
        <f>INDEX(Teams!$B:$B,MATCH(F136,Teams!$A:$A,0))</f>
        <v>Mumbai Indians</v>
      </c>
      <c r="R136" t="str">
        <f>INDEX(Teams!$B:$B,MATCH(G136,Teams!$A:$A,0))</f>
        <v>Mumbai Indians</v>
      </c>
      <c r="S136" t="str">
        <f>IF(K136="","No result",INDEX(Teams!$B:$B,MATCH(K136,Teams!$A:$A,0)))</f>
        <v>Mumbai Indians</v>
      </c>
      <c r="T136" t="str">
        <f>INDEX(Venues!$B:$B,MATCH(O136,Venues!$A:$A,0))</f>
        <v>Brabourne Stadium</v>
      </c>
      <c r="U136" t="str">
        <f>INDEX(Venues!$C:$C,MATCH(O136,Venues!$A:$A,0))</f>
        <v>Mumbai</v>
      </c>
      <c r="V136" t="str">
        <f>IF(L136&gt;0,L136&amp;" runs",IF(M136&gt;0,M136&amp;" wickets","-"))</f>
        <v>5 wickets</v>
      </c>
      <c r="W136">
        <f>IF(G136=K136,1,0)</f>
        <v>1</v>
      </c>
      <c r="X136">
        <f>IF(L136&gt;0,L136,"")</f>
        <v/>
      </c>
      <c r="Y136">
        <f>IF(X136="","",IF(X136&gt;Stats!$B$15,"Outlier",""))</f>
        <v/>
      </c>
      <c r="Z136" t="str">
        <f>P136&amp;" vs "&amp;Q136</f>
        <v>Chennai Super Kings vs Mumbai Indians</v>
      </c>
    </row>
    <row r="137" spans="1:26" x14ac:dyDescent="0.25">
      <c r="A137">
        <v>197</v>
      </c>
      <c r="B137">
        <v>2010</v>
      </c>
      <c r="C137" s="5">
        <v>40262</v>
      </c>
      <c r="D137" t="s">
        <v>172</v>
      </c>
      <c r="E137" t="s">
        <v>20</v>
      </c>
      <c r="F137" t="s">
        <v>46</v>
      </c>
      <c r="G137" t="s">
        <v>46</v>
      </c>
      <c r="H137" t="s">
        <v>173</v>
      </c>
      <c r="I137" t="s">
        <v>174</v>
      </c>
      <c r="J137">
        <v>0</v>
      </c>
      <c r="K137" t="s">
        <v>20</v>
      </c>
      <c r="L137">
        <v>17</v>
      </c>
      <c r="M137">
        <v>0</v>
      </c>
      <c r="N137" t="s">
        <v>255</v>
      </c>
      <c r="O137" t="s">
        <v>92</v>
      </c>
      <c r="P137" t="str">
        <f>INDEX(Teams!$B:$B,MATCH(E137,Teams!$A:$A,0))</f>
        <v>Delhi Capitals</v>
      </c>
      <c r="Q137" t="str">
        <f>INDEX(Teams!$B:$B,MATCH(F137,Teams!$A:$A,0))</f>
        <v>Royal Challengers Bangalore</v>
      </c>
      <c r="R137" t="str">
        <f>INDEX(Teams!$B:$B,MATCH(G137,Teams!$A:$A,0))</f>
        <v>Royal Challengers Bangalore</v>
      </c>
      <c r="S137" t="str">
        <f>IF(K137="","No result",INDEX(Teams!$B:$B,MATCH(K137,Teams!$A:$A,0)))</f>
        <v>Delhi Capitals</v>
      </c>
      <c r="T137" t="str">
        <f>INDEX(Venues!$B:$B,MATCH(O137,Venues!$A:$A,0))</f>
        <v>M Chinnaswamy Stadium</v>
      </c>
      <c r="U137" t="str">
        <f>INDEX(Venues!$C:$C,MATCH(O137,Venues!$A:$A,0))</f>
        <v>Bangalore</v>
      </c>
      <c r="V137" t="str">
        <f>IF(L137&gt;0,L137&amp;" runs",IF(M137&gt;0,M137&amp;" wickets","-"))</f>
        <v>17 runs</v>
      </c>
      <c r="W137">
        <f>IF(G137=K137,1,0)</f>
        <v>0</v>
      </c>
      <c r="X137">
        <f>IF(L137&gt;0,L137,"")</f>
        <v>17</v>
      </c>
      <c r="Y137">
        <f>IF(X137="","",IF(X137&gt;Stats!$B$15,"Outlier",""))</f>
        <v/>
      </c>
      <c r="Z137" t="str">
        <f>P137&amp;" vs "&amp;Q137</f>
        <v>Delhi Capitals vs Royal Challengers Bangalore</v>
      </c>
    </row>
    <row r="138" spans="1:26" x14ac:dyDescent="0.25">
      <c r="A138">
        <v>195</v>
      </c>
      <c r="B138">
        <v>2010</v>
      </c>
      <c r="C138" s="5">
        <v>40263</v>
      </c>
      <c r="D138" t="s">
        <v>172</v>
      </c>
      <c r="E138" t="s">
        <v>16</v>
      </c>
      <c r="F138" t="s">
        <v>41</v>
      </c>
      <c r="G138" t="s">
        <v>16</v>
      </c>
      <c r="H138" t="s">
        <v>176</v>
      </c>
      <c r="I138" t="s">
        <v>174</v>
      </c>
      <c r="J138">
        <v>0</v>
      </c>
      <c r="K138" t="s">
        <v>41</v>
      </c>
      <c r="L138">
        <v>0</v>
      </c>
      <c r="M138">
        <v>8</v>
      </c>
      <c r="N138" t="s">
        <v>184</v>
      </c>
      <c r="O138" t="s">
        <v>113</v>
      </c>
      <c r="P138" t="str">
        <f>INDEX(Teams!$B:$B,MATCH(E138,Teams!$A:$A,0))</f>
        <v>Deccan Chargers</v>
      </c>
      <c r="Q138" t="str">
        <f>INDEX(Teams!$B:$B,MATCH(F138,Teams!$A:$A,0))</f>
        <v>Rajasthan Royals</v>
      </c>
      <c r="R138" t="str">
        <f>INDEX(Teams!$B:$B,MATCH(G138,Teams!$A:$A,0))</f>
        <v>Deccan Chargers</v>
      </c>
      <c r="S138" t="str">
        <f>IF(K138="","No result",INDEX(Teams!$B:$B,MATCH(K138,Teams!$A:$A,0)))</f>
        <v>Rajasthan Royals</v>
      </c>
      <c r="T138" t="str">
        <f>INDEX(Venues!$B:$B,MATCH(O138,Venues!$A:$A,0))</f>
        <v>Sardar Patel Stadium</v>
      </c>
      <c r="U138" t="str">
        <f>INDEX(Venues!$C:$C,MATCH(O138,Venues!$A:$A,0))</f>
        <v>Ahmedabad</v>
      </c>
      <c r="V138" t="str">
        <f>IF(L138&gt;0,L138&amp;" runs",IF(M138&gt;0,M138&amp;" wickets","-"))</f>
        <v>8 wickets</v>
      </c>
      <c r="W138">
        <f>IF(G138=K138,1,0)</f>
        <v>0</v>
      </c>
      <c r="X138">
        <f>IF(L138&gt;0,L138,"")</f>
        <v/>
      </c>
      <c r="Y138">
        <f>IF(X138="","",IF(X138&gt;Stats!$B$15,"Outlier",""))</f>
        <v/>
      </c>
      <c r="Z138" t="str">
        <f>P138&amp;" vs "&amp;Q138</f>
        <v>Deccan Chargers vs Rajasthan Royals</v>
      </c>
    </row>
    <row r="139" spans="1:26" x14ac:dyDescent="0.25">
      <c r="A139">
        <v>196</v>
      </c>
      <c r="B139">
        <v>2010</v>
      </c>
      <c r="C139" s="5">
        <v>40264</v>
      </c>
      <c r="D139" t="s">
        <v>172</v>
      </c>
      <c r="E139" t="s">
        <v>32</v>
      </c>
      <c r="F139" t="s">
        <v>26</v>
      </c>
      <c r="G139" t="s">
        <v>32</v>
      </c>
      <c r="H139" t="s">
        <v>176</v>
      </c>
      <c r="I139" t="s">
        <v>174</v>
      </c>
      <c r="J139">
        <v>0</v>
      </c>
      <c r="K139" t="s">
        <v>32</v>
      </c>
      <c r="L139">
        <v>39</v>
      </c>
      <c r="M139">
        <v>0</v>
      </c>
      <c r="N139" t="s">
        <v>248</v>
      </c>
      <c r="O139" t="s">
        <v>109</v>
      </c>
      <c r="P139" t="str">
        <f>INDEX(Teams!$B:$B,MATCH(E139,Teams!$A:$A,0))</f>
        <v>Kolkata Knight Riders</v>
      </c>
      <c r="Q139" t="str">
        <f>INDEX(Teams!$B:$B,MATCH(F139,Teams!$A:$A,0))</f>
        <v>Kings XI Punjab</v>
      </c>
      <c r="R139" t="str">
        <f>INDEX(Teams!$B:$B,MATCH(G139,Teams!$A:$A,0))</f>
        <v>Kolkata Knight Riders</v>
      </c>
      <c r="S139" t="str">
        <f>IF(K139="","No result",INDEX(Teams!$B:$B,MATCH(K139,Teams!$A:$A,0)))</f>
        <v>Kolkata Knight Riders</v>
      </c>
      <c r="T139" t="str">
        <f>INDEX(Venues!$B:$B,MATCH(O139,Venues!$A:$A,0))</f>
        <v>Punjab Cricket Association IS Bindra Stadium</v>
      </c>
      <c r="U139" t="str">
        <f>INDEX(Venues!$C:$C,MATCH(O139,Venues!$A:$A,0))</f>
        <v>Chandigarh</v>
      </c>
      <c r="V139" t="str">
        <f>IF(L139&gt;0,L139&amp;" runs",IF(M139&gt;0,M139&amp;" wickets","-"))</f>
        <v>39 runs</v>
      </c>
      <c r="W139">
        <f>IF(G139=K139,1,0)</f>
        <v>1</v>
      </c>
      <c r="X139">
        <f>IF(L139&gt;0,L139,"")</f>
        <v>39</v>
      </c>
      <c r="Y139">
        <f>IF(X139="","",IF(X139&gt;Stats!$B$15,"Outlier",""))</f>
        <v/>
      </c>
      <c r="Z139" t="str">
        <f>P139&amp;" vs "&amp;Q139</f>
        <v>Kolkata Knight Riders vs Kings XI Punjab</v>
      </c>
    </row>
    <row r="140" spans="1:26" x14ac:dyDescent="0.25">
      <c r="A140">
        <v>198</v>
      </c>
      <c r="B140">
        <v>2010</v>
      </c>
      <c r="C140" s="5">
        <v>40265</v>
      </c>
      <c r="D140" t="s">
        <v>172</v>
      </c>
      <c r="E140" t="s">
        <v>41</v>
      </c>
      <c r="F140" t="s">
        <v>12</v>
      </c>
      <c r="G140" t="s">
        <v>41</v>
      </c>
      <c r="H140" t="s">
        <v>176</v>
      </c>
      <c r="I140" t="s">
        <v>174</v>
      </c>
      <c r="J140">
        <v>0</v>
      </c>
      <c r="K140" t="s">
        <v>41</v>
      </c>
      <c r="L140">
        <v>17</v>
      </c>
      <c r="M140">
        <v>0</v>
      </c>
      <c r="N140" t="s">
        <v>256</v>
      </c>
      <c r="O140" t="s">
        <v>113</v>
      </c>
      <c r="P140" t="str">
        <f>INDEX(Teams!$B:$B,MATCH(E140,Teams!$A:$A,0))</f>
        <v>Rajasthan Royals</v>
      </c>
      <c r="Q140" t="str">
        <f>INDEX(Teams!$B:$B,MATCH(F140,Teams!$A:$A,0))</f>
        <v>Chennai Super Kings</v>
      </c>
      <c r="R140" t="str">
        <f>INDEX(Teams!$B:$B,MATCH(G140,Teams!$A:$A,0))</f>
        <v>Rajasthan Royals</v>
      </c>
      <c r="S140" t="str">
        <f>IF(K140="","No result",INDEX(Teams!$B:$B,MATCH(K140,Teams!$A:$A,0)))</f>
        <v>Rajasthan Royals</v>
      </c>
      <c r="T140" t="str">
        <f>INDEX(Venues!$B:$B,MATCH(O140,Venues!$A:$A,0))</f>
        <v>Sardar Patel Stadium</v>
      </c>
      <c r="U140" t="str">
        <f>INDEX(Venues!$C:$C,MATCH(O140,Venues!$A:$A,0))</f>
        <v>Ahmedabad</v>
      </c>
      <c r="V140" t="str">
        <f>IF(L140&gt;0,L140&amp;" runs",IF(M140&gt;0,M140&amp;" wickets","-"))</f>
        <v>17 runs</v>
      </c>
      <c r="W140">
        <f>IF(G140=K140,1,0)</f>
        <v>1</v>
      </c>
      <c r="X140">
        <f>IF(L140&gt;0,L140,"")</f>
        <v>17</v>
      </c>
      <c r="Y140">
        <f>IF(X140="","",IF(X140&gt;Stats!$B$15,"Outlier",""))</f>
        <v/>
      </c>
      <c r="Z140" t="str">
        <f>P140&amp;" vs "&amp;Q140</f>
        <v>Rajasthan Royals vs Chennai Super Kings</v>
      </c>
    </row>
    <row r="141" spans="1:26" x14ac:dyDescent="0.25">
      <c r="A141">
        <v>199</v>
      </c>
      <c r="B141">
        <v>2010</v>
      </c>
      <c r="C141" s="5">
        <v>40265</v>
      </c>
      <c r="D141" t="s">
        <v>172</v>
      </c>
      <c r="E141" t="s">
        <v>35</v>
      </c>
      <c r="F141" t="s">
        <v>16</v>
      </c>
      <c r="G141" t="s">
        <v>16</v>
      </c>
      <c r="H141" t="s">
        <v>173</v>
      </c>
      <c r="I141" t="s">
        <v>174</v>
      </c>
      <c r="J141">
        <v>0</v>
      </c>
      <c r="K141" t="s">
        <v>35</v>
      </c>
      <c r="L141">
        <v>41</v>
      </c>
      <c r="M141">
        <v>0</v>
      </c>
      <c r="N141" t="s">
        <v>240</v>
      </c>
      <c r="O141" t="s">
        <v>65</v>
      </c>
      <c r="P141" t="str">
        <f>INDEX(Teams!$B:$B,MATCH(E141,Teams!$A:$A,0))</f>
        <v>Mumbai Indians</v>
      </c>
      <c r="Q141" t="str">
        <f>INDEX(Teams!$B:$B,MATCH(F141,Teams!$A:$A,0))</f>
        <v>Deccan Chargers</v>
      </c>
      <c r="R141" t="str">
        <f>INDEX(Teams!$B:$B,MATCH(G141,Teams!$A:$A,0))</f>
        <v>Deccan Chargers</v>
      </c>
      <c r="S141" t="str">
        <f>IF(K141="","No result",INDEX(Teams!$B:$B,MATCH(K141,Teams!$A:$A,0)))</f>
        <v>Mumbai Indians</v>
      </c>
      <c r="T141" t="str">
        <f>INDEX(Venues!$B:$B,MATCH(O141,Venues!$A:$A,0))</f>
        <v>Dr DY Patil Sports Academy</v>
      </c>
      <c r="U141" t="str">
        <f>INDEX(Venues!$C:$C,MATCH(O141,Venues!$A:$A,0))</f>
        <v>Mumbai</v>
      </c>
      <c r="V141" t="str">
        <f>IF(L141&gt;0,L141&amp;" runs",IF(M141&gt;0,M141&amp;" wickets","-"))</f>
        <v>41 runs</v>
      </c>
      <c r="W141">
        <f>IF(G141=K141,1,0)</f>
        <v>0</v>
      </c>
      <c r="X141">
        <f>IF(L141&gt;0,L141,"")</f>
        <v>41</v>
      </c>
      <c r="Y141">
        <f>IF(X141="","",IF(X141&gt;Stats!$B$15,"Outlier",""))</f>
        <v/>
      </c>
      <c r="Z141" t="str">
        <f>P141&amp;" vs "&amp;Q141</f>
        <v>Mumbai Indians vs Deccan Chargers</v>
      </c>
    </row>
    <row r="142" spans="1:26" x14ac:dyDescent="0.25">
      <c r="A142">
        <v>200</v>
      </c>
      <c r="B142">
        <v>2010</v>
      </c>
      <c r="C142" s="5">
        <v>40266</v>
      </c>
      <c r="D142" t="s">
        <v>172</v>
      </c>
      <c r="E142" t="s">
        <v>20</v>
      </c>
      <c r="F142" t="s">
        <v>32</v>
      </c>
      <c r="G142" t="s">
        <v>20</v>
      </c>
      <c r="H142" t="s">
        <v>176</v>
      </c>
      <c r="I142" t="s">
        <v>174</v>
      </c>
      <c r="J142">
        <v>0</v>
      </c>
      <c r="K142" t="s">
        <v>20</v>
      </c>
      <c r="L142">
        <v>40</v>
      </c>
      <c r="M142">
        <v>0</v>
      </c>
      <c r="N142" t="s">
        <v>257</v>
      </c>
      <c r="O142" t="s">
        <v>75</v>
      </c>
      <c r="P142" t="str">
        <f>INDEX(Teams!$B:$B,MATCH(E142,Teams!$A:$A,0))</f>
        <v>Delhi Capitals</v>
      </c>
      <c r="Q142" t="str">
        <f>INDEX(Teams!$B:$B,MATCH(F142,Teams!$A:$A,0))</f>
        <v>Kolkata Knight Riders</v>
      </c>
      <c r="R142" t="str">
        <f>INDEX(Teams!$B:$B,MATCH(G142,Teams!$A:$A,0))</f>
        <v>Delhi Capitals</v>
      </c>
      <c r="S142" t="str">
        <f>IF(K142="","No result",INDEX(Teams!$B:$B,MATCH(K142,Teams!$A:$A,0)))</f>
        <v>Delhi Capitals</v>
      </c>
      <c r="T142" t="str">
        <f>INDEX(Venues!$B:$B,MATCH(O142,Venues!$A:$A,0))</f>
        <v>Feroz Shah Kotla</v>
      </c>
      <c r="U142" t="str">
        <f>INDEX(Venues!$C:$C,MATCH(O142,Venues!$A:$A,0))</f>
        <v>Delhi</v>
      </c>
      <c r="V142" t="str">
        <f>IF(L142&gt;0,L142&amp;" runs",IF(M142&gt;0,M142&amp;" wickets","-"))</f>
        <v>40 runs</v>
      </c>
      <c r="W142">
        <f>IF(G142=K142,1,0)</f>
        <v>1</v>
      </c>
      <c r="X142">
        <f>IF(L142&gt;0,L142,"")</f>
        <v>40</v>
      </c>
      <c r="Y142">
        <f>IF(X142="","",IF(X142&gt;Stats!$B$15,"Outlier",""))</f>
        <v/>
      </c>
      <c r="Z142" t="str">
        <f>P142&amp;" vs "&amp;Q142</f>
        <v>Delhi Capitals vs Kolkata Knight Riders</v>
      </c>
    </row>
    <row r="143" spans="1:26" x14ac:dyDescent="0.25">
      <c r="A143">
        <v>201</v>
      </c>
      <c r="B143">
        <v>2010</v>
      </c>
      <c r="C143" s="5">
        <v>40267</v>
      </c>
      <c r="D143" t="s">
        <v>172</v>
      </c>
      <c r="E143" t="s">
        <v>26</v>
      </c>
      <c r="F143" t="s">
        <v>35</v>
      </c>
      <c r="G143" t="s">
        <v>35</v>
      </c>
      <c r="H143" t="s">
        <v>173</v>
      </c>
      <c r="I143" t="s">
        <v>174</v>
      </c>
      <c r="J143">
        <v>0</v>
      </c>
      <c r="K143" t="s">
        <v>35</v>
      </c>
      <c r="L143">
        <v>0</v>
      </c>
      <c r="M143">
        <v>4</v>
      </c>
      <c r="N143" t="s">
        <v>258</v>
      </c>
      <c r="O143" t="s">
        <v>57</v>
      </c>
      <c r="P143" t="str">
        <f>INDEX(Teams!$B:$B,MATCH(E143,Teams!$A:$A,0))</f>
        <v>Kings XI Punjab</v>
      </c>
      <c r="Q143" t="str">
        <f>INDEX(Teams!$B:$B,MATCH(F143,Teams!$A:$A,0))</f>
        <v>Mumbai Indians</v>
      </c>
      <c r="R143" t="str">
        <f>INDEX(Teams!$B:$B,MATCH(G143,Teams!$A:$A,0))</f>
        <v>Mumbai Indians</v>
      </c>
      <c r="S143" t="str">
        <f>IF(K143="","No result",INDEX(Teams!$B:$B,MATCH(K143,Teams!$A:$A,0)))</f>
        <v>Mumbai Indians</v>
      </c>
      <c r="T143" t="str">
        <f>INDEX(Venues!$B:$B,MATCH(O143,Venues!$A:$A,0))</f>
        <v>Brabourne Stadium</v>
      </c>
      <c r="U143" t="str">
        <f>INDEX(Venues!$C:$C,MATCH(O143,Venues!$A:$A,0))</f>
        <v>Mumbai</v>
      </c>
      <c r="V143" t="str">
        <f>IF(L143&gt;0,L143&amp;" runs",IF(M143&gt;0,M143&amp;" wickets","-"))</f>
        <v>4 wickets</v>
      </c>
      <c r="W143">
        <f>IF(G143=K143,1,0)</f>
        <v>1</v>
      </c>
      <c r="X143">
        <f>IF(L143&gt;0,L143,"")</f>
        <v/>
      </c>
      <c r="Y143">
        <f>IF(X143="","",IF(X143&gt;Stats!$B$15,"Outlier",""))</f>
        <v/>
      </c>
      <c r="Z143" t="str">
        <f>P143&amp;" vs "&amp;Q143</f>
        <v>Kings XI Punjab vs Mumbai Indians</v>
      </c>
    </row>
    <row r="144" spans="1:26" x14ac:dyDescent="0.25">
      <c r="A144">
        <v>202</v>
      </c>
      <c r="B144">
        <v>2010</v>
      </c>
      <c r="C144" s="5">
        <v>40268</v>
      </c>
      <c r="D144" t="s">
        <v>172</v>
      </c>
      <c r="E144" t="s">
        <v>46</v>
      </c>
      <c r="F144" t="s">
        <v>12</v>
      </c>
      <c r="G144" t="s">
        <v>46</v>
      </c>
      <c r="H144" t="s">
        <v>176</v>
      </c>
      <c r="I144" t="s">
        <v>174</v>
      </c>
      <c r="J144">
        <v>0</v>
      </c>
      <c r="K144" t="s">
        <v>12</v>
      </c>
      <c r="L144">
        <v>0</v>
      </c>
      <c r="M144">
        <v>5</v>
      </c>
      <c r="N144" t="s">
        <v>259</v>
      </c>
      <c r="O144" t="s">
        <v>94</v>
      </c>
      <c r="P144" t="str">
        <f>INDEX(Teams!$B:$B,MATCH(E144,Teams!$A:$A,0))</f>
        <v>Royal Challengers Bangalore</v>
      </c>
      <c r="Q144" t="str">
        <f>INDEX(Teams!$B:$B,MATCH(F144,Teams!$A:$A,0))</f>
        <v>Chennai Super Kings</v>
      </c>
      <c r="R144" t="str">
        <f>INDEX(Teams!$B:$B,MATCH(G144,Teams!$A:$A,0))</f>
        <v>Royal Challengers Bangalore</v>
      </c>
      <c r="S144" t="str">
        <f>IF(K144="","No result",INDEX(Teams!$B:$B,MATCH(K144,Teams!$A:$A,0)))</f>
        <v>Chennai Super Kings</v>
      </c>
      <c r="T144" t="str">
        <f>INDEX(Venues!$B:$B,MATCH(O144,Venues!$A:$A,0))</f>
        <v>MA Chidambaram Stadium</v>
      </c>
      <c r="U144" t="str">
        <f>INDEX(Venues!$C:$C,MATCH(O144,Venues!$A:$A,0))</f>
        <v>Chennai</v>
      </c>
      <c r="V144" t="str">
        <f>IF(L144&gt;0,L144&amp;" runs",IF(M144&gt;0,M144&amp;" wickets","-"))</f>
        <v>5 wickets</v>
      </c>
      <c r="W144">
        <f>IF(G144=K144,1,0)</f>
        <v>0</v>
      </c>
      <c r="X144">
        <f>IF(L144&gt;0,L144,"")</f>
        <v/>
      </c>
      <c r="Y144">
        <f>IF(X144="","",IF(X144&gt;Stats!$B$15,"Outlier",""))</f>
        <v/>
      </c>
      <c r="Z144" t="str">
        <f>P144&amp;" vs "&amp;Q144</f>
        <v>Royal Challengers Bangalore vs Chennai Super Kings</v>
      </c>
    </row>
    <row r="145" spans="1:26" x14ac:dyDescent="0.25">
      <c r="A145">
        <v>203</v>
      </c>
      <c r="B145">
        <v>2010</v>
      </c>
      <c r="C145" s="5">
        <v>40268</v>
      </c>
      <c r="D145" t="s">
        <v>172</v>
      </c>
      <c r="E145" t="s">
        <v>20</v>
      </c>
      <c r="F145" t="s">
        <v>41</v>
      </c>
      <c r="G145" t="s">
        <v>20</v>
      </c>
      <c r="H145" t="s">
        <v>176</v>
      </c>
      <c r="I145" t="s">
        <v>174</v>
      </c>
      <c r="J145">
        <v>0</v>
      </c>
      <c r="K145" t="s">
        <v>20</v>
      </c>
      <c r="L145">
        <v>67</v>
      </c>
      <c r="M145">
        <v>0</v>
      </c>
      <c r="N145" t="s">
        <v>210</v>
      </c>
      <c r="O145" t="s">
        <v>75</v>
      </c>
      <c r="P145" t="str">
        <f>INDEX(Teams!$B:$B,MATCH(E145,Teams!$A:$A,0))</f>
        <v>Delhi Capitals</v>
      </c>
      <c r="Q145" t="str">
        <f>INDEX(Teams!$B:$B,MATCH(F145,Teams!$A:$A,0))</f>
        <v>Rajasthan Royals</v>
      </c>
      <c r="R145" t="str">
        <f>INDEX(Teams!$B:$B,MATCH(G145,Teams!$A:$A,0))</f>
        <v>Delhi Capitals</v>
      </c>
      <c r="S145" t="str">
        <f>IF(K145="","No result",INDEX(Teams!$B:$B,MATCH(K145,Teams!$A:$A,0)))</f>
        <v>Delhi Capitals</v>
      </c>
      <c r="T145" t="str">
        <f>INDEX(Venues!$B:$B,MATCH(O145,Venues!$A:$A,0))</f>
        <v>Feroz Shah Kotla</v>
      </c>
      <c r="U145" t="str">
        <f>INDEX(Venues!$C:$C,MATCH(O145,Venues!$A:$A,0))</f>
        <v>Delhi</v>
      </c>
      <c r="V145" t="str">
        <f>IF(L145&gt;0,L145&amp;" runs",IF(M145&gt;0,M145&amp;" wickets","-"))</f>
        <v>67 runs</v>
      </c>
      <c r="W145">
        <f>IF(G145=K145,1,0)</f>
        <v>1</v>
      </c>
      <c r="X145">
        <f>IF(L145&gt;0,L145,"")</f>
        <v>67</v>
      </c>
      <c r="Y145">
        <f>IF(X145="","",IF(X145&gt;Stats!$B$15,"Outlier",""))</f>
        <v/>
      </c>
      <c r="Z145" t="str">
        <f>P145&amp;" vs "&amp;Q145</f>
        <v>Delhi Capitals vs Rajasthan Royals</v>
      </c>
    </row>
    <row r="146" spans="1:26" x14ac:dyDescent="0.25">
      <c r="A146">
        <v>204</v>
      </c>
      <c r="B146">
        <v>2010</v>
      </c>
      <c r="C146" s="5">
        <v>40269</v>
      </c>
      <c r="D146" t="s">
        <v>172</v>
      </c>
      <c r="E146" t="s">
        <v>32</v>
      </c>
      <c r="F146" t="s">
        <v>16</v>
      </c>
      <c r="G146" t="s">
        <v>32</v>
      </c>
      <c r="H146" t="s">
        <v>176</v>
      </c>
      <c r="I146" t="s">
        <v>174</v>
      </c>
      <c r="J146">
        <v>0</v>
      </c>
      <c r="K146" t="s">
        <v>32</v>
      </c>
      <c r="L146">
        <v>24</v>
      </c>
      <c r="M146">
        <v>0</v>
      </c>
      <c r="N146" t="s">
        <v>200</v>
      </c>
      <c r="O146" t="s">
        <v>73</v>
      </c>
      <c r="P146" t="str">
        <f>INDEX(Teams!$B:$B,MATCH(E146,Teams!$A:$A,0))</f>
        <v>Kolkata Knight Riders</v>
      </c>
      <c r="Q146" t="str">
        <f>INDEX(Teams!$B:$B,MATCH(F146,Teams!$A:$A,0))</f>
        <v>Deccan Chargers</v>
      </c>
      <c r="R146" t="str">
        <f>INDEX(Teams!$B:$B,MATCH(G146,Teams!$A:$A,0))</f>
        <v>Kolkata Knight Riders</v>
      </c>
      <c r="S146" t="str">
        <f>IF(K146="","No result",INDEX(Teams!$B:$B,MATCH(K146,Teams!$A:$A,0)))</f>
        <v>Kolkata Knight Riders</v>
      </c>
      <c r="T146" t="str">
        <f>INDEX(Venues!$B:$B,MATCH(O146,Venues!$A:$A,0))</f>
        <v>Eden Gardens</v>
      </c>
      <c r="U146" t="str">
        <f>INDEX(Venues!$C:$C,MATCH(O146,Venues!$A:$A,0))</f>
        <v>Kolkata</v>
      </c>
      <c r="V146" t="str">
        <f>IF(L146&gt;0,L146&amp;" runs",IF(M146&gt;0,M146&amp;" wickets","-"))</f>
        <v>24 runs</v>
      </c>
      <c r="W146">
        <f>IF(G146=K146,1,0)</f>
        <v>1</v>
      </c>
      <c r="X146">
        <f>IF(L146&gt;0,L146,"")</f>
        <v>24</v>
      </c>
      <c r="Y146">
        <f>IF(X146="","",IF(X146&gt;Stats!$B$15,"Outlier",""))</f>
        <v/>
      </c>
      <c r="Z146" t="str">
        <f>P146&amp;" vs "&amp;Q146</f>
        <v>Kolkata Knight Riders vs Deccan Chargers</v>
      </c>
    </row>
    <row r="147" spans="1:26" x14ac:dyDescent="0.25">
      <c r="A147">
        <v>205</v>
      </c>
      <c r="B147">
        <v>2010</v>
      </c>
      <c r="C147" s="5">
        <v>40270</v>
      </c>
      <c r="D147" t="s">
        <v>172</v>
      </c>
      <c r="E147" t="s">
        <v>26</v>
      </c>
      <c r="F147" t="s">
        <v>46</v>
      </c>
      <c r="G147" t="s">
        <v>26</v>
      </c>
      <c r="H147" t="s">
        <v>176</v>
      </c>
      <c r="I147" t="s">
        <v>174</v>
      </c>
      <c r="J147">
        <v>0</v>
      </c>
      <c r="K147" t="s">
        <v>46</v>
      </c>
      <c r="L147">
        <v>0</v>
      </c>
      <c r="M147">
        <v>6</v>
      </c>
      <c r="N147" t="s">
        <v>260</v>
      </c>
      <c r="O147" t="s">
        <v>109</v>
      </c>
      <c r="P147" t="str">
        <f>INDEX(Teams!$B:$B,MATCH(E147,Teams!$A:$A,0))</f>
        <v>Kings XI Punjab</v>
      </c>
      <c r="Q147" t="str">
        <f>INDEX(Teams!$B:$B,MATCH(F147,Teams!$A:$A,0))</f>
        <v>Royal Challengers Bangalore</v>
      </c>
      <c r="R147" t="str">
        <f>INDEX(Teams!$B:$B,MATCH(G147,Teams!$A:$A,0))</f>
        <v>Kings XI Punjab</v>
      </c>
      <c r="S147" t="str">
        <f>IF(K147="","No result",INDEX(Teams!$B:$B,MATCH(K147,Teams!$A:$A,0)))</f>
        <v>Royal Challengers Bangalore</v>
      </c>
      <c r="T147" t="str">
        <f>INDEX(Venues!$B:$B,MATCH(O147,Venues!$A:$A,0))</f>
        <v>Punjab Cricket Association IS Bindra Stadium</v>
      </c>
      <c r="U147" t="str">
        <f>INDEX(Venues!$C:$C,MATCH(O147,Venues!$A:$A,0))</f>
        <v>Chandigarh</v>
      </c>
      <c r="V147" t="str">
        <f>IF(L147&gt;0,L147&amp;" runs",IF(M147&gt;0,M147&amp;" wickets","-"))</f>
        <v>6 wickets</v>
      </c>
      <c r="W147">
        <f>IF(G147=K147,1,0)</f>
        <v>0</v>
      </c>
      <c r="X147">
        <f>IF(L147&gt;0,L147,"")</f>
        <v/>
      </c>
      <c r="Y147">
        <f>IF(X147="","",IF(X147&gt;Stats!$B$15,"Outlier",""))</f>
        <v/>
      </c>
      <c r="Z147" t="str">
        <f>P147&amp;" vs "&amp;Q147</f>
        <v>Kings XI Punjab vs Royal Challengers Bangalore</v>
      </c>
    </row>
    <row r="148" spans="1:26" x14ac:dyDescent="0.25">
      <c r="A148">
        <v>206</v>
      </c>
      <c r="B148">
        <v>2010</v>
      </c>
      <c r="C148" s="5">
        <v>40271</v>
      </c>
      <c r="D148" t="s">
        <v>172</v>
      </c>
      <c r="E148" t="s">
        <v>12</v>
      </c>
      <c r="F148" t="s">
        <v>41</v>
      </c>
      <c r="G148" t="s">
        <v>12</v>
      </c>
      <c r="H148" t="s">
        <v>176</v>
      </c>
      <c r="I148" t="s">
        <v>174</v>
      </c>
      <c r="J148">
        <v>0</v>
      </c>
      <c r="K148" t="s">
        <v>12</v>
      </c>
      <c r="L148">
        <v>23</v>
      </c>
      <c r="M148">
        <v>0</v>
      </c>
      <c r="N148" t="s">
        <v>259</v>
      </c>
      <c r="O148" t="s">
        <v>94</v>
      </c>
      <c r="P148" t="str">
        <f>INDEX(Teams!$B:$B,MATCH(E148,Teams!$A:$A,0))</f>
        <v>Chennai Super Kings</v>
      </c>
      <c r="Q148" t="str">
        <f>INDEX(Teams!$B:$B,MATCH(F148,Teams!$A:$A,0))</f>
        <v>Rajasthan Royals</v>
      </c>
      <c r="R148" t="str">
        <f>INDEX(Teams!$B:$B,MATCH(G148,Teams!$A:$A,0))</f>
        <v>Chennai Super Kings</v>
      </c>
      <c r="S148" t="str">
        <f>IF(K148="","No result",INDEX(Teams!$B:$B,MATCH(K148,Teams!$A:$A,0)))</f>
        <v>Chennai Super Kings</v>
      </c>
      <c r="T148" t="str">
        <f>INDEX(Venues!$B:$B,MATCH(O148,Venues!$A:$A,0))</f>
        <v>MA Chidambaram Stadium</v>
      </c>
      <c r="U148" t="str">
        <f>INDEX(Venues!$C:$C,MATCH(O148,Venues!$A:$A,0))</f>
        <v>Chennai</v>
      </c>
      <c r="V148" t="str">
        <f>IF(L148&gt;0,L148&amp;" runs",IF(M148&gt;0,M148&amp;" wickets","-"))</f>
        <v>23 runs</v>
      </c>
      <c r="W148">
        <f>IF(G148=K148,1,0)</f>
        <v>1</v>
      </c>
      <c r="X148">
        <f>IF(L148&gt;0,L148,"")</f>
        <v>23</v>
      </c>
      <c r="Y148">
        <f>IF(X148="","",IF(X148&gt;Stats!$B$15,"Outlier",""))</f>
        <v/>
      </c>
      <c r="Z148" t="str">
        <f>P148&amp;" vs "&amp;Q148</f>
        <v>Chennai Super Kings vs Rajasthan Royals</v>
      </c>
    </row>
    <row r="149" spans="1:26" x14ac:dyDescent="0.25">
      <c r="A149">
        <v>207</v>
      </c>
      <c r="B149">
        <v>2010</v>
      </c>
      <c r="C149" s="5">
        <v>40271</v>
      </c>
      <c r="D149" t="s">
        <v>172</v>
      </c>
      <c r="E149" t="s">
        <v>35</v>
      </c>
      <c r="F149" t="s">
        <v>16</v>
      </c>
      <c r="G149" t="s">
        <v>35</v>
      </c>
      <c r="H149" t="s">
        <v>176</v>
      </c>
      <c r="I149" t="s">
        <v>174</v>
      </c>
      <c r="J149">
        <v>0</v>
      </c>
      <c r="K149" t="s">
        <v>35</v>
      </c>
      <c r="L149">
        <v>63</v>
      </c>
      <c r="M149">
        <v>0</v>
      </c>
      <c r="N149" t="s">
        <v>261</v>
      </c>
      <c r="O149" t="s">
        <v>57</v>
      </c>
      <c r="P149" t="str">
        <f>INDEX(Teams!$B:$B,MATCH(E149,Teams!$A:$A,0))</f>
        <v>Mumbai Indians</v>
      </c>
      <c r="Q149" t="str">
        <f>INDEX(Teams!$B:$B,MATCH(F149,Teams!$A:$A,0))</f>
        <v>Deccan Chargers</v>
      </c>
      <c r="R149" t="str">
        <f>INDEX(Teams!$B:$B,MATCH(G149,Teams!$A:$A,0))</f>
        <v>Mumbai Indians</v>
      </c>
      <c r="S149" t="str">
        <f>IF(K149="","No result",INDEX(Teams!$B:$B,MATCH(K149,Teams!$A:$A,0)))</f>
        <v>Mumbai Indians</v>
      </c>
      <c r="T149" t="str">
        <f>INDEX(Venues!$B:$B,MATCH(O149,Venues!$A:$A,0))</f>
        <v>Brabourne Stadium</v>
      </c>
      <c r="U149" t="str">
        <f>INDEX(Venues!$C:$C,MATCH(O149,Venues!$A:$A,0))</f>
        <v>Mumbai</v>
      </c>
      <c r="V149" t="str">
        <f>IF(L149&gt;0,L149&amp;" runs",IF(M149&gt;0,M149&amp;" wickets","-"))</f>
        <v>63 runs</v>
      </c>
      <c r="W149">
        <f>IF(G149=K149,1,0)</f>
        <v>1</v>
      </c>
      <c r="X149">
        <f>IF(L149&gt;0,L149,"")</f>
        <v>63</v>
      </c>
      <c r="Y149">
        <f>IF(X149="","",IF(X149&gt;Stats!$B$15,"Outlier",""))</f>
        <v/>
      </c>
      <c r="Z149" t="str">
        <f>P149&amp;" vs "&amp;Q149</f>
        <v>Mumbai Indians vs Deccan Chargers</v>
      </c>
    </row>
    <row r="150" spans="1:26" x14ac:dyDescent="0.25">
      <c r="A150">
        <v>208</v>
      </c>
      <c r="B150">
        <v>2010</v>
      </c>
      <c r="C150" s="5">
        <v>40272</v>
      </c>
      <c r="D150" t="s">
        <v>172</v>
      </c>
      <c r="E150" t="s">
        <v>32</v>
      </c>
      <c r="F150" t="s">
        <v>26</v>
      </c>
      <c r="G150" t="s">
        <v>32</v>
      </c>
      <c r="H150" t="s">
        <v>176</v>
      </c>
      <c r="I150" t="s">
        <v>174</v>
      </c>
      <c r="J150">
        <v>0</v>
      </c>
      <c r="K150" t="s">
        <v>26</v>
      </c>
      <c r="L150">
        <v>0</v>
      </c>
      <c r="M150">
        <v>8</v>
      </c>
      <c r="N150" t="s">
        <v>204</v>
      </c>
      <c r="O150" t="s">
        <v>73</v>
      </c>
      <c r="P150" t="str">
        <f>INDEX(Teams!$B:$B,MATCH(E150,Teams!$A:$A,0))</f>
        <v>Kolkata Knight Riders</v>
      </c>
      <c r="Q150" t="str">
        <f>INDEX(Teams!$B:$B,MATCH(F150,Teams!$A:$A,0))</f>
        <v>Kings XI Punjab</v>
      </c>
      <c r="R150" t="str">
        <f>INDEX(Teams!$B:$B,MATCH(G150,Teams!$A:$A,0))</f>
        <v>Kolkata Knight Riders</v>
      </c>
      <c r="S150" t="str">
        <f>IF(K150="","No result",INDEX(Teams!$B:$B,MATCH(K150,Teams!$A:$A,0)))</f>
        <v>Kings XI Punjab</v>
      </c>
      <c r="T150" t="str">
        <f>INDEX(Venues!$B:$B,MATCH(O150,Venues!$A:$A,0))</f>
        <v>Eden Gardens</v>
      </c>
      <c r="U150" t="str">
        <f>INDEX(Venues!$C:$C,MATCH(O150,Venues!$A:$A,0))</f>
        <v>Kolkata</v>
      </c>
      <c r="V150" t="str">
        <f>IF(L150&gt;0,L150&amp;" runs",IF(M150&gt;0,M150&amp;" wickets","-"))</f>
        <v>8 wickets</v>
      </c>
      <c r="W150">
        <f>IF(G150=K150,1,0)</f>
        <v>0</v>
      </c>
      <c r="X150">
        <f>IF(L150&gt;0,L150,"")</f>
        <v/>
      </c>
      <c r="Y150">
        <f>IF(X150="","",IF(X150&gt;Stats!$B$15,"Outlier",""))</f>
        <v/>
      </c>
      <c r="Z150" t="str">
        <f>P150&amp;" vs "&amp;Q150</f>
        <v>Kolkata Knight Riders vs Kings XI Punjab</v>
      </c>
    </row>
    <row r="151" spans="1:26" x14ac:dyDescent="0.25">
      <c r="A151">
        <v>209</v>
      </c>
      <c r="B151">
        <v>2010</v>
      </c>
      <c r="C151" s="5">
        <v>40272</v>
      </c>
      <c r="D151" t="s">
        <v>172</v>
      </c>
      <c r="E151" t="s">
        <v>20</v>
      </c>
      <c r="F151" t="s">
        <v>46</v>
      </c>
      <c r="G151" t="s">
        <v>20</v>
      </c>
      <c r="H151" t="s">
        <v>176</v>
      </c>
      <c r="I151" t="s">
        <v>174</v>
      </c>
      <c r="J151">
        <v>0</v>
      </c>
      <c r="K151" t="s">
        <v>20</v>
      </c>
      <c r="L151">
        <v>37</v>
      </c>
      <c r="M151">
        <v>0</v>
      </c>
      <c r="N151" t="s">
        <v>262</v>
      </c>
      <c r="O151" t="s">
        <v>75</v>
      </c>
      <c r="P151" t="str">
        <f>INDEX(Teams!$B:$B,MATCH(E151,Teams!$A:$A,0))</f>
        <v>Delhi Capitals</v>
      </c>
      <c r="Q151" t="str">
        <f>INDEX(Teams!$B:$B,MATCH(F151,Teams!$A:$A,0))</f>
        <v>Royal Challengers Bangalore</v>
      </c>
      <c r="R151" t="str">
        <f>INDEX(Teams!$B:$B,MATCH(G151,Teams!$A:$A,0))</f>
        <v>Delhi Capitals</v>
      </c>
      <c r="S151" t="str">
        <f>IF(K151="","No result",INDEX(Teams!$B:$B,MATCH(K151,Teams!$A:$A,0)))</f>
        <v>Delhi Capitals</v>
      </c>
      <c r="T151" t="str">
        <f>INDEX(Venues!$B:$B,MATCH(O151,Venues!$A:$A,0))</f>
        <v>Feroz Shah Kotla</v>
      </c>
      <c r="U151" t="str">
        <f>INDEX(Venues!$C:$C,MATCH(O151,Venues!$A:$A,0))</f>
        <v>Delhi</v>
      </c>
      <c r="V151" t="str">
        <f>IF(L151&gt;0,L151&amp;" runs",IF(M151&gt;0,M151&amp;" wickets","-"))</f>
        <v>37 runs</v>
      </c>
      <c r="W151">
        <f>IF(G151=K151,1,0)</f>
        <v>1</v>
      </c>
      <c r="X151">
        <f>IF(L151&gt;0,L151,"")</f>
        <v>37</v>
      </c>
      <c r="Y151">
        <f>IF(X151="","",IF(X151&gt;Stats!$B$15,"Outlier",""))</f>
        <v/>
      </c>
      <c r="Z151" t="str">
        <f>P151&amp;" vs "&amp;Q151</f>
        <v>Delhi Capitals vs Royal Challengers Bangalore</v>
      </c>
    </row>
    <row r="152" spans="1:26" x14ac:dyDescent="0.25">
      <c r="A152">
        <v>210</v>
      </c>
      <c r="B152">
        <v>2010</v>
      </c>
      <c r="C152" s="5">
        <v>40273</v>
      </c>
      <c r="D152" t="s">
        <v>172</v>
      </c>
      <c r="E152" t="s">
        <v>41</v>
      </c>
      <c r="F152" t="s">
        <v>16</v>
      </c>
      <c r="G152" t="s">
        <v>41</v>
      </c>
      <c r="H152" t="s">
        <v>176</v>
      </c>
      <c r="I152" t="s">
        <v>174</v>
      </c>
      <c r="J152">
        <v>0</v>
      </c>
      <c r="K152" t="s">
        <v>41</v>
      </c>
      <c r="L152">
        <v>2</v>
      </c>
      <c r="M152">
        <v>0</v>
      </c>
      <c r="N152" t="s">
        <v>242</v>
      </c>
      <c r="O152" t="s">
        <v>135</v>
      </c>
      <c r="P152" t="str">
        <f>INDEX(Teams!$B:$B,MATCH(E152,Teams!$A:$A,0))</f>
        <v>Rajasthan Royals</v>
      </c>
      <c r="Q152" t="str">
        <f>INDEX(Teams!$B:$B,MATCH(F152,Teams!$A:$A,0))</f>
        <v>Deccan Chargers</v>
      </c>
      <c r="R152" t="str">
        <f>INDEX(Teams!$B:$B,MATCH(G152,Teams!$A:$A,0))</f>
        <v>Rajasthan Royals</v>
      </c>
      <c r="S152" t="str">
        <f>IF(K152="","No result",INDEX(Teams!$B:$B,MATCH(K152,Teams!$A:$A,0)))</f>
        <v>Rajasthan Royals</v>
      </c>
      <c r="T152" t="str">
        <f>INDEX(Venues!$B:$B,MATCH(O152,Venues!$A:$A,0))</f>
        <v>Vidarbha Cricket Association Stadium</v>
      </c>
      <c r="U152" t="str">
        <f>INDEX(Venues!$C:$C,MATCH(O152,Venues!$A:$A,0))</f>
        <v>Nagpur</v>
      </c>
      <c r="V152" t="str">
        <f>IF(L152&gt;0,L152&amp;" runs",IF(M152&gt;0,M152&amp;" wickets","-"))</f>
        <v>2 runs</v>
      </c>
      <c r="W152">
        <f>IF(G152=K152,1,0)</f>
        <v>1</v>
      </c>
      <c r="X152">
        <f>IF(L152&gt;0,L152,"")</f>
        <v>2</v>
      </c>
      <c r="Y152">
        <f>IF(X152="","",IF(X152&gt;Stats!$B$15,"Outlier",""))</f>
        <v/>
      </c>
      <c r="Z152" t="str">
        <f>P152&amp;" vs "&amp;Q152</f>
        <v>Rajasthan Royals vs Deccan Chargers</v>
      </c>
    </row>
    <row r="153" spans="1:26" x14ac:dyDescent="0.25">
      <c r="A153">
        <v>211</v>
      </c>
      <c r="B153">
        <v>2010</v>
      </c>
      <c r="C153" s="5">
        <v>40274</v>
      </c>
      <c r="D153" t="s">
        <v>172</v>
      </c>
      <c r="E153" t="s">
        <v>12</v>
      </c>
      <c r="F153" t="s">
        <v>35</v>
      </c>
      <c r="G153" t="s">
        <v>12</v>
      </c>
      <c r="H153" t="s">
        <v>176</v>
      </c>
      <c r="I153" t="s">
        <v>174</v>
      </c>
      <c r="J153">
        <v>0</v>
      </c>
      <c r="K153" t="s">
        <v>12</v>
      </c>
      <c r="L153">
        <v>24</v>
      </c>
      <c r="M153">
        <v>0</v>
      </c>
      <c r="N153" t="s">
        <v>214</v>
      </c>
      <c r="O153" t="s">
        <v>94</v>
      </c>
      <c r="P153" t="str">
        <f>INDEX(Teams!$B:$B,MATCH(E153,Teams!$A:$A,0))</f>
        <v>Chennai Super Kings</v>
      </c>
      <c r="Q153" t="str">
        <f>INDEX(Teams!$B:$B,MATCH(F153,Teams!$A:$A,0))</f>
        <v>Mumbai Indians</v>
      </c>
      <c r="R153" t="str">
        <f>INDEX(Teams!$B:$B,MATCH(G153,Teams!$A:$A,0))</f>
        <v>Chennai Super Kings</v>
      </c>
      <c r="S153" t="str">
        <f>IF(K153="","No result",INDEX(Teams!$B:$B,MATCH(K153,Teams!$A:$A,0)))</f>
        <v>Chennai Super Kings</v>
      </c>
      <c r="T153" t="str">
        <f>INDEX(Venues!$B:$B,MATCH(O153,Venues!$A:$A,0))</f>
        <v>MA Chidambaram Stadium</v>
      </c>
      <c r="U153" t="str">
        <f>INDEX(Venues!$C:$C,MATCH(O153,Venues!$A:$A,0))</f>
        <v>Chennai</v>
      </c>
      <c r="V153" t="str">
        <f>IF(L153&gt;0,L153&amp;" runs",IF(M153&gt;0,M153&amp;" wickets","-"))</f>
        <v>24 runs</v>
      </c>
      <c r="W153">
        <f>IF(G153=K153,1,0)</f>
        <v>1</v>
      </c>
      <c r="X153">
        <f>IF(L153&gt;0,L153,"")</f>
        <v>24</v>
      </c>
      <c r="Y153">
        <f>IF(X153="","",IF(X153&gt;Stats!$B$15,"Outlier",""))</f>
        <v/>
      </c>
      <c r="Z153" t="str">
        <f>P153&amp;" vs "&amp;Q153</f>
        <v>Chennai Super Kings vs Mumbai Indians</v>
      </c>
    </row>
    <row r="154" spans="1:26" x14ac:dyDescent="0.25">
      <c r="A154">
        <v>212</v>
      </c>
      <c r="B154">
        <v>2010</v>
      </c>
      <c r="C154" s="5">
        <v>40275</v>
      </c>
      <c r="D154" t="s">
        <v>172</v>
      </c>
      <c r="E154" t="s">
        <v>26</v>
      </c>
      <c r="F154" t="s">
        <v>41</v>
      </c>
      <c r="G154" t="s">
        <v>26</v>
      </c>
      <c r="H154" t="s">
        <v>176</v>
      </c>
      <c r="I154" t="s">
        <v>174</v>
      </c>
      <c r="J154">
        <v>0</v>
      </c>
      <c r="K154" t="s">
        <v>41</v>
      </c>
      <c r="L154">
        <v>0</v>
      </c>
      <c r="M154">
        <v>9</v>
      </c>
      <c r="N154" t="s">
        <v>263</v>
      </c>
      <c r="O154" t="s">
        <v>118</v>
      </c>
      <c r="P154" t="str">
        <f>INDEX(Teams!$B:$B,MATCH(E154,Teams!$A:$A,0))</f>
        <v>Kings XI Punjab</v>
      </c>
      <c r="Q154" t="str">
        <f>INDEX(Teams!$B:$B,MATCH(F154,Teams!$A:$A,0))</f>
        <v>Rajasthan Royals</v>
      </c>
      <c r="R154" t="str">
        <f>INDEX(Teams!$B:$B,MATCH(G154,Teams!$A:$A,0))</f>
        <v>Kings XI Punjab</v>
      </c>
      <c r="S154" t="str">
        <f>IF(K154="","No result",INDEX(Teams!$B:$B,MATCH(K154,Teams!$A:$A,0)))</f>
        <v>Rajasthan Royals</v>
      </c>
      <c r="T154" t="str">
        <f>INDEX(Venues!$B:$B,MATCH(O154,Venues!$A:$A,0))</f>
        <v>Sawai Mansingh Stadium</v>
      </c>
      <c r="U154" t="str">
        <f>INDEX(Venues!$C:$C,MATCH(O154,Venues!$A:$A,0))</f>
        <v>Jaipur</v>
      </c>
      <c r="V154" t="str">
        <f>IF(L154&gt;0,L154&amp;" runs",IF(M154&gt;0,M154&amp;" wickets","-"))</f>
        <v>9 wickets</v>
      </c>
      <c r="W154">
        <f>IF(G154=K154,1,0)</f>
        <v>0</v>
      </c>
      <c r="X154">
        <f>IF(L154&gt;0,L154,"")</f>
        <v/>
      </c>
      <c r="Y154">
        <f>IF(X154="","",IF(X154&gt;Stats!$B$15,"Outlier",""))</f>
        <v/>
      </c>
      <c r="Z154" t="str">
        <f>P154&amp;" vs "&amp;Q154</f>
        <v>Kings XI Punjab vs Rajasthan Royals</v>
      </c>
    </row>
    <row r="155" spans="1:26" x14ac:dyDescent="0.25">
      <c r="A155">
        <v>213</v>
      </c>
      <c r="B155">
        <v>2010</v>
      </c>
      <c r="C155" s="5">
        <v>40275</v>
      </c>
      <c r="D155" t="s">
        <v>172</v>
      </c>
      <c r="E155" t="s">
        <v>32</v>
      </c>
      <c r="F155" t="s">
        <v>20</v>
      </c>
      <c r="G155" t="s">
        <v>32</v>
      </c>
      <c r="H155" t="s">
        <v>176</v>
      </c>
      <c r="I155" t="s">
        <v>174</v>
      </c>
      <c r="J155">
        <v>0</v>
      </c>
      <c r="K155" t="s">
        <v>32</v>
      </c>
      <c r="L155">
        <v>14</v>
      </c>
      <c r="M155">
        <v>0</v>
      </c>
      <c r="N155" t="s">
        <v>200</v>
      </c>
      <c r="O155" t="s">
        <v>73</v>
      </c>
      <c r="P155" t="str">
        <f>INDEX(Teams!$B:$B,MATCH(E155,Teams!$A:$A,0))</f>
        <v>Kolkata Knight Riders</v>
      </c>
      <c r="Q155" t="str">
        <f>INDEX(Teams!$B:$B,MATCH(F155,Teams!$A:$A,0))</f>
        <v>Delhi Capitals</v>
      </c>
      <c r="R155" t="str">
        <f>INDEX(Teams!$B:$B,MATCH(G155,Teams!$A:$A,0))</f>
        <v>Kolkata Knight Riders</v>
      </c>
      <c r="S155" t="str">
        <f>IF(K155="","No result",INDEX(Teams!$B:$B,MATCH(K155,Teams!$A:$A,0)))</f>
        <v>Kolkata Knight Riders</v>
      </c>
      <c r="T155" t="str">
        <f>INDEX(Venues!$B:$B,MATCH(O155,Venues!$A:$A,0))</f>
        <v>Eden Gardens</v>
      </c>
      <c r="U155" t="str">
        <f>INDEX(Venues!$C:$C,MATCH(O155,Venues!$A:$A,0))</f>
        <v>Kolkata</v>
      </c>
      <c r="V155" t="str">
        <f>IF(L155&gt;0,L155&amp;" runs",IF(M155&gt;0,M155&amp;" wickets","-"))</f>
        <v>14 runs</v>
      </c>
      <c r="W155">
        <f>IF(G155=K155,1,0)</f>
        <v>1</v>
      </c>
      <c r="X155">
        <f>IF(L155&gt;0,L155,"")</f>
        <v>14</v>
      </c>
      <c r="Y155">
        <f>IF(X155="","",IF(X155&gt;Stats!$B$15,"Outlier",""))</f>
        <v/>
      </c>
      <c r="Z155" t="str">
        <f>P155&amp;" vs "&amp;Q155</f>
        <v>Kolkata Knight Riders vs Delhi Capitals</v>
      </c>
    </row>
    <row r="156" spans="1:26" x14ac:dyDescent="0.25">
      <c r="A156">
        <v>214</v>
      </c>
      <c r="B156">
        <v>2010</v>
      </c>
      <c r="C156" s="5">
        <v>40276</v>
      </c>
      <c r="D156" t="s">
        <v>172</v>
      </c>
      <c r="E156" t="s">
        <v>46</v>
      </c>
      <c r="F156" t="s">
        <v>16</v>
      </c>
      <c r="G156" t="s">
        <v>16</v>
      </c>
      <c r="H156" t="s">
        <v>173</v>
      </c>
      <c r="I156" t="s">
        <v>174</v>
      </c>
      <c r="J156">
        <v>0</v>
      </c>
      <c r="K156" t="s">
        <v>16</v>
      </c>
      <c r="L156">
        <v>0</v>
      </c>
      <c r="M156">
        <v>7</v>
      </c>
      <c r="N156" t="s">
        <v>264</v>
      </c>
      <c r="O156" t="s">
        <v>92</v>
      </c>
      <c r="P156" t="str">
        <f>INDEX(Teams!$B:$B,MATCH(E156,Teams!$A:$A,0))</f>
        <v>Royal Challengers Bangalore</v>
      </c>
      <c r="Q156" t="str">
        <f>INDEX(Teams!$B:$B,MATCH(F156,Teams!$A:$A,0))</f>
        <v>Deccan Chargers</v>
      </c>
      <c r="R156" t="str">
        <f>INDEX(Teams!$B:$B,MATCH(G156,Teams!$A:$A,0))</f>
        <v>Deccan Chargers</v>
      </c>
      <c r="S156" t="str">
        <f>IF(K156="","No result",INDEX(Teams!$B:$B,MATCH(K156,Teams!$A:$A,0)))</f>
        <v>Deccan Chargers</v>
      </c>
      <c r="T156" t="str">
        <f>INDEX(Venues!$B:$B,MATCH(O156,Venues!$A:$A,0))</f>
        <v>M Chinnaswamy Stadium</v>
      </c>
      <c r="U156" t="str">
        <f>INDEX(Venues!$C:$C,MATCH(O156,Venues!$A:$A,0))</f>
        <v>Bangalore</v>
      </c>
      <c r="V156" t="str">
        <f>IF(L156&gt;0,L156&amp;" runs",IF(M156&gt;0,M156&amp;" wickets","-"))</f>
        <v>7 wickets</v>
      </c>
      <c r="W156">
        <f>IF(G156=K156,1,0)</f>
        <v>1</v>
      </c>
      <c r="X156">
        <f>IF(L156&gt;0,L156,"")</f>
        <v/>
      </c>
      <c r="Y156">
        <f>IF(X156="","",IF(X156&gt;Stats!$B$15,"Outlier",""))</f>
        <v/>
      </c>
      <c r="Z156" t="str">
        <f>P156&amp;" vs "&amp;Q156</f>
        <v>Royal Challengers Bangalore vs Deccan Chargers</v>
      </c>
    </row>
    <row r="157" spans="1:26" x14ac:dyDescent="0.25">
      <c r="A157">
        <v>215</v>
      </c>
      <c r="B157">
        <v>2010</v>
      </c>
      <c r="C157" s="5">
        <v>40277</v>
      </c>
      <c r="D157" t="s">
        <v>172</v>
      </c>
      <c r="E157" t="s">
        <v>35</v>
      </c>
      <c r="F157" t="s">
        <v>26</v>
      </c>
      <c r="G157" t="s">
        <v>35</v>
      </c>
      <c r="H157" t="s">
        <v>176</v>
      </c>
      <c r="I157" t="s">
        <v>174</v>
      </c>
      <c r="J157">
        <v>0</v>
      </c>
      <c r="K157" t="s">
        <v>26</v>
      </c>
      <c r="L157">
        <v>0</v>
      </c>
      <c r="M157">
        <v>6</v>
      </c>
      <c r="N157" t="s">
        <v>185</v>
      </c>
      <c r="O157" t="s">
        <v>109</v>
      </c>
      <c r="P157" t="str">
        <f>INDEX(Teams!$B:$B,MATCH(E157,Teams!$A:$A,0))</f>
        <v>Mumbai Indians</v>
      </c>
      <c r="Q157" t="str">
        <f>INDEX(Teams!$B:$B,MATCH(F157,Teams!$A:$A,0))</f>
        <v>Kings XI Punjab</v>
      </c>
      <c r="R157" t="str">
        <f>INDEX(Teams!$B:$B,MATCH(G157,Teams!$A:$A,0))</f>
        <v>Mumbai Indians</v>
      </c>
      <c r="S157" t="str">
        <f>IF(K157="","No result",INDEX(Teams!$B:$B,MATCH(K157,Teams!$A:$A,0)))</f>
        <v>Kings XI Punjab</v>
      </c>
      <c r="T157" t="str">
        <f>INDEX(Venues!$B:$B,MATCH(O157,Venues!$A:$A,0))</f>
        <v>Punjab Cricket Association IS Bindra Stadium</v>
      </c>
      <c r="U157" t="str">
        <f>INDEX(Venues!$C:$C,MATCH(O157,Venues!$A:$A,0))</f>
        <v>Chandigarh</v>
      </c>
      <c r="V157" t="str">
        <f>IF(L157&gt;0,L157&amp;" runs",IF(M157&gt;0,M157&amp;" wickets","-"))</f>
        <v>6 wickets</v>
      </c>
      <c r="W157">
        <f>IF(G157=K157,1,0)</f>
        <v>0</v>
      </c>
      <c r="X157">
        <f>IF(L157&gt;0,L157,"")</f>
        <v/>
      </c>
      <c r="Y157">
        <f>IF(X157="","",IF(X157&gt;Stats!$B$15,"Outlier",""))</f>
        <v/>
      </c>
      <c r="Z157" t="str">
        <f>P157&amp;" vs "&amp;Q157</f>
        <v>Mumbai Indians vs Kings XI Punjab</v>
      </c>
    </row>
    <row r="158" spans="1:26" x14ac:dyDescent="0.25">
      <c r="A158">
        <v>216</v>
      </c>
      <c r="B158">
        <v>2010</v>
      </c>
      <c r="C158" s="5">
        <v>40278</v>
      </c>
      <c r="D158" t="s">
        <v>172</v>
      </c>
      <c r="E158" t="s">
        <v>12</v>
      </c>
      <c r="F158" t="s">
        <v>16</v>
      </c>
      <c r="G158" t="s">
        <v>12</v>
      </c>
      <c r="H158" t="s">
        <v>176</v>
      </c>
      <c r="I158" t="s">
        <v>174</v>
      </c>
      <c r="J158">
        <v>0</v>
      </c>
      <c r="K158" t="s">
        <v>16</v>
      </c>
      <c r="L158">
        <v>0</v>
      </c>
      <c r="M158">
        <v>6</v>
      </c>
      <c r="N158" t="s">
        <v>265</v>
      </c>
      <c r="O158" t="s">
        <v>135</v>
      </c>
      <c r="P158" t="str">
        <f>INDEX(Teams!$B:$B,MATCH(E158,Teams!$A:$A,0))</f>
        <v>Chennai Super Kings</v>
      </c>
      <c r="Q158" t="str">
        <f>INDEX(Teams!$B:$B,MATCH(F158,Teams!$A:$A,0))</f>
        <v>Deccan Chargers</v>
      </c>
      <c r="R158" t="str">
        <f>INDEX(Teams!$B:$B,MATCH(G158,Teams!$A:$A,0))</f>
        <v>Chennai Super Kings</v>
      </c>
      <c r="S158" t="str">
        <f>IF(K158="","No result",INDEX(Teams!$B:$B,MATCH(K158,Teams!$A:$A,0)))</f>
        <v>Deccan Chargers</v>
      </c>
      <c r="T158" t="str">
        <f>INDEX(Venues!$B:$B,MATCH(O158,Venues!$A:$A,0))</f>
        <v>Vidarbha Cricket Association Stadium</v>
      </c>
      <c r="U158" t="str">
        <f>INDEX(Venues!$C:$C,MATCH(O158,Venues!$A:$A,0))</f>
        <v>Nagpur</v>
      </c>
      <c r="V158" t="str">
        <f>IF(L158&gt;0,L158&amp;" runs",IF(M158&gt;0,M158&amp;" wickets","-"))</f>
        <v>6 wickets</v>
      </c>
      <c r="W158">
        <f>IF(G158=K158,1,0)</f>
        <v>0</v>
      </c>
      <c r="X158">
        <f>IF(L158&gt;0,L158,"")</f>
        <v/>
      </c>
      <c r="Y158">
        <f>IF(X158="","",IF(X158&gt;Stats!$B$15,"Outlier",""))</f>
        <v/>
      </c>
      <c r="Z158" t="str">
        <f>P158&amp;" vs "&amp;Q158</f>
        <v>Chennai Super Kings vs Deccan Chargers</v>
      </c>
    </row>
    <row r="159" spans="1:26" x14ac:dyDescent="0.25">
      <c r="A159">
        <v>217</v>
      </c>
      <c r="B159">
        <v>2010</v>
      </c>
      <c r="C159" s="5">
        <v>40278</v>
      </c>
      <c r="D159" t="s">
        <v>172</v>
      </c>
      <c r="E159" t="s">
        <v>32</v>
      </c>
      <c r="F159" t="s">
        <v>46</v>
      </c>
      <c r="G159" t="s">
        <v>46</v>
      </c>
      <c r="H159" t="s">
        <v>173</v>
      </c>
      <c r="I159" t="s">
        <v>174</v>
      </c>
      <c r="J159">
        <v>0</v>
      </c>
      <c r="K159" t="s">
        <v>46</v>
      </c>
      <c r="L159">
        <v>0</v>
      </c>
      <c r="M159">
        <v>7</v>
      </c>
      <c r="N159" t="s">
        <v>212</v>
      </c>
      <c r="O159" t="s">
        <v>92</v>
      </c>
      <c r="P159" t="str">
        <f>INDEX(Teams!$B:$B,MATCH(E159,Teams!$A:$A,0))</f>
        <v>Kolkata Knight Riders</v>
      </c>
      <c r="Q159" t="str">
        <f>INDEX(Teams!$B:$B,MATCH(F159,Teams!$A:$A,0))</f>
        <v>Royal Challengers Bangalore</v>
      </c>
      <c r="R159" t="str">
        <f>INDEX(Teams!$B:$B,MATCH(G159,Teams!$A:$A,0))</f>
        <v>Royal Challengers Bangalore</v>
      </c>
      <c r="S159" t="str">
        <f>IF(K159="","No result",INDEX(Teams!$B:$B,MATCH(K159,Teams!$A:$A,0)))</f>
        <v>Royal Challengers Bangalore</v>
      </c>
      <c r="T159" t="str">
        <f>INDEX(Venues!$B:$B,MATCH(O159,Venues!$A:$A,0))</f>
        <v>M Chinnaswamy Stadium</v>
      </c>
      <c r="U159" t="str">
        <f>INDEX(Venues!$C:$C,MATCH(O159,Venues!$A:$A,0))</f>
        <v>Bangalore</v>
      </c>
      <c r="V159" t="str">
        <f>IF(L159&gt;0,L159&amp;" runs",IF(M159&gt;0,M159&amp;" wickets","-"))</f>
        <v>7 wickets</v>
      </c>
      <c r="W159">
        <f>IF(G159=K159,1,0)</f>
        <v>1</v>
      </c>
      <c r="X159">
        <f>IF(L159&gt;0,L159,"")</f>
        <v/>
      </c>
      <c r="Y159">
        <f>IF(X159="","",IF(X159&gt;Stats!$B$15,"Outlier",""))</f>
        <v/>
      </c>
      <c r="Z159" t="str">
        <f>P159&amp;" vs "&amp;Q159</f>
        <v>Kolkata Knight Riders vs Royal Challengers Bangalore</v>
      </c>
    </row>
    <row r="160" spans="1:26" x14ac:dyDescent="0.25">
      <c r="A160">
        <v>218</v>
      </c>
      <c r="B160">
        <v>2010</v>
      </c>
      <c r="C160" s="5">
        <v>40279</v>
      </c>
      <c r="D160" t="s">
        <v>172</v>
      </c>
      <c r="E160" t="s">
        <v>20</v>
      </c>
      <c r="F160" t="s">
        <v>26</v>
      </c>
      <c r="G160" t="s">
        <v>20</v>
      </c>
      <c r="H160" t="s">
        <v>176</v>
      </c>
      <c r="I160" t="s">
        <v>174</v>
      </c>
      <c r="J160">
        <v>0</v>
      </c>
      <c r="K160" t="s">
        <v>26</v>
      </c>
      <c r="L160">
        <v>0</v>
      </c>
      <c r="M160">
        <v>7</v>
      </c>
      <c r="N160" t="s">
        <v>266</v>
      </c>
      <c r="O160" t="s">
        <v>75</v>
      </c>
      <c r="P160" t="str">
        <f>INDEX(Teams!$B:$B,MATCH(E160,Teams!$A:$A,0))</f>
        <v>Delhi Capitals</v>
      </c>
      <c r="Q160" t="str">
        <f>INDEX(Teams!$B:$B,MATCH(F160,Teams!$A:$A,0))</f>
        <v>Kings XI Punjab</v>
      </c>
      <c r="R160" t="str">
        <f>INDEX(Teams!$B:$B,MATCH(G160,Teams!$A:$A,0))</f>
        <v>Delhi Capitals</v>
      </c>
      <c r="S160" t="str">
        <f>IF(K160="","No result",INDEX(Teams!$B:$B,MATCH(K160,Teams!$A:$A,0)))</f>
        <v>Kings XI Punjab</v>
      </c>
      <c r="T160" t="str">
        <f>INDEX(Venues!$B:$B,MATCH(O160,Venues!$A:$A,0))</f>
        <v>Feroz Shah Kotla</v>
      </c>
      <c r="U160" t="str">
        <f>INDEX(Venues!$C:$C,MATCH(O160,Venues!$A:$A,0))</f>
        <v>Delhi</v>
      </c>
      <c r="V160" t="str">
        <f>IF(L160&gt;0,L160&amp;" runs",IF(M160&gt;0,M160&amp;" wickets","-"))</f>
        <v>7 wickets</v>
      </c>
      <c r="W160">
        <f>IF(G160=K160,1,0)</f>
        <v>0</v>
      </c>
      <c r="X160">
        <f>IF(L160&gt;0,L160,"")</f>
        <v/>
      </c>
      <c r="Y160">
        <f>IF(X160="","",IF(X160&gt;Stats!$B$15,"Outlier",""))</f>
        <v/>
      </c>
      <c r="Z160" t="str">
        <f>P160&amp;" vs "&amp;Q160</f>
        <v>Delhi Capitals vs Kings XI Punjab</v>
      </c>
    </row>
    <row r="161" spans="1:26" x14ac:dyDescent="0.25">
      <c r="A161">
        <v>219</v>
      </c>
      <c r="B161">
        <v>2010</v>
      </c>
      <c r="C161" s="5">
        <v>40279</v>
      </c>
      <c r="D161" t="s">
        <v>172</v>
      </c>
      <c r="E161" t="s">
        <v>35</v>
      </c>
      <c r="F161" t="s">
        <v>41</v>
      </c>
      <c r="G161" t="s">
        <v>41</v>
      </c>
      <c r="H161" t="s">
        <v>173</v>
      </c>
      <c r="I161" t="s">
        <v>174</v>
      </c>
      <c r="J161">
        <v>0</v>
      </c>
      <c r="K161" t="s">
        <v>35</v>
      </c>
      <c r="L161">
        <v>37</v>
      </c>
      <c r="M161">
        <v>0</v>
      </c>
      <c r="N161" t="s">
        <v>217</v>
      </c>
      <c r="O161" t="s">
        <v>118</v>
      </c>
      <c r="P161" t="str">
        <f>INDEX(Teams!$B:$B,MATCH(E161,Teams!$A:$A,0))</f>
        <v>Mumbai Indians</v>
      </c>
      <c r="Q161" t="str">
        <f>INDEX(Teams!$B:$B,MATCH(F161,Teams!$A:$A,0))</f>
        <v>Rajasthan Royals</v>
      </c>
      <c r="R161" t="str">
        <f>INDEX(Teams!$B:$B,MATCH(G161,Teams!$A:$A,0))</f>
        <v>Rajasthan Royals</v>
      </c>
      <c r="S161" t="str">
        <f>IF(K161="","No result",INDEX(Teams!$B:$B,MATCH(K161,Teams!$A:$A,0)))</f>
        <v>Mumbai Indians</v>
      </c>
      <c r="T161" t="str">
        <f>INDEX(Venues!$B:$B,MATCH(O161,Venues!$A:$A,0))</f>
        <v>Sawai Mansingh Stadium</v>
      </c>
      <c r="U161" t="str">
        <f>INDEX(Venues!$C:$C,MATCH(O161,Venues!$A:$A,0))</f>
        <v>Jaipur</v>
      </c>
      <c r="V161" t="str">
        <f>IF(L161&gt;0,L161&amp;" runs",IF(M161&gt;0,M161&amp;" wickets","-"))</f>
        <v>37 runs</v>
      </c>
      <c r="W161">
        <f>IF(G161=K161,1,0)</f>
        <v>0</v>
      </c>
      <c r="X161">
        <f>IF(L161&gt;0,L161,"")</f>
        <v>37</v>
      </c>
      <c r="Y161">
        <f>IF(X161="","",IF(X161&gt;Stats!$B$15,"Outlier",""))</f>
        <v/>
      </c>
      <c r="Z161" t="str">
        <f>P161&amp;" vs "&amp;Q161</f>
        <v>Mumbai Indians vs Rajasthan Royals</v>
      </c>
    </row>
    <row r="162" spans="1:26" x14ac:dyDescent="0.25">
      <c r="A162">
        <v>220</v>
      </c>
      <c r="B162">
        <v>2010</v>
      </c>
      <c r="C162" s="5">
        <v>40280</v>
      </c>
      <c r="D162" t="s">
        <v>172</v>
      </c>
      <c r="E162" t="s">
        <v>16</v>
      </c>
      <c r="F162" t="s">
        <v>46</v>
      </c>
      <c r="G162" t="s">
        <v>46</v>
      </c>
      <c r="H162" t="s">
        <v>173</v>
      </c>
      <c r="I162" t="s">
        <v>174</v>
      </c>
      <c r="J162">
        <v>0</v>
      </c>
      <c r="K162" t="s">
        <v>16</v>
      </c>
      <c r="L162">
        <v>13</v>
      </c>
      <c r="M162">
        <v>0</v>
      </c>
      <c r="N162" t="s">
        <v>267</v>
      </c>
      <c r="O162" t="s">
        <v>135</v>
      </c>
      <c r="P162" t="str">
        <f>INDEX(Teams!$B:$B,MATCH(E162,Teams!$A:$A,0))</f>
        <v>Deccan Chargers</v>
      </c>
      <c r="Q162" t="str">
        <f>INDEX(Teams!$B:$B,MATCH(F162,Teams!$A:$A,0))</f>
        <v>Royal Challengers Bangalore</v>
      </c>
      <c r="R162" t="str">
        <f>INDEX(Teams!$B:$B,MATCH(G162,Teams!$A:$A,0))</f>
        <v>Royal Challengers Bangalore</v>
      </c>
      <c r="S162" t="str">
        <f>IF(K162="","No result",INDEX(Teams!$B:$B,MATCH(K162,Teams!$A:$A,0)))</f>
        <v>Deccan Chargers</v>
      </c>
      <c r="T162" t="str">
        <f>INDEX(Venues!$B:$B,MATCH(O162,Venues!$A:$A,0))</f>
        <v>Vidarbha Cricket Association Stadium</v>
      </c>
      <c r="U162" t="str">
        <f>INDEX(Venues!$C:$C,MATCH(O162,Venues!$A:$A,0))</f>
        <v>Nagpur</v>
      </c>
      <c r="V162" t="str">
        <f>IF(L162&gt;0,L162&amp;" runs",IF(M162&gt;0,M162&amp;" wickets","-"))</f>
        <v>13 runs</v>
      </c>
      <c r="W162">
        <f>IF(G162=K162,1,0)</f>
        <v>0</v>
      </c>
      <c r="X162">
        <f>IF(L162&gt;0,L162,"")</f>
        <v>13</v>
      </c>
      <c r="Y162">
        <f>IF(X162="","",IF(X162&gt;Stats!$B$15,"Outlier",""))</f>
        <v/>
      </c>
      <c r="Z162" t="str">
        <f>P162&amp;" vs "&amp;Q162</f>
        <v>Deccan Chargers vs Royal Challengers Bangalore</v>
      </c>
    </row>
    <row r="163" spans="1:26" x14ac:dyDescent="0.25">
      <c r="A163">
        <v>221</v>
      </c>
      <c r="B163">
        <v>2010</v>
      </c>
      <c r="C163" s="5">
        <v>40281</v>
      </c>
      <c r="D163" t="s">
        <v>172</v>
      </c>
      <c r="E163" t="s">
        <v>35</v>
      </c>
      <c r="F163" t="s">
        <v>20</v>
      </c>
      <c r="G163" t="s">
        <v>35</v>
      </c>
      <c r="H163" t="s">
        <v>176</v>
      </c>
      <c r="I163" t="s">
        <v>174</v>
      </c>
      <c r="J163">
        <v>0</v>
      </c>
      <c r="K163" t="s">
        <v>35</v>
      </c>
      <c r="L163">
        <v>39</v>
      </c>
      <c r="M163">
        <v>0</v>
      </c>
      <c r="N163" t="s">
        <v>268</v>
      </c>
      <c r="O163" t="s">
        <v>57</v>
      </c>
      <c r="P163" t="str">
        <f>INDEX(Teams!$B:$B,MATCH(E163,Teams!$A:$A,0))</f>
        <v>Mumbai Indians</v>
      </c>
      <c r="Q163" t="str">
        <f>INDEX(Teams!$B:$B,MATCH(F163,Teams!$A:$A,0))</f>
        <v>Delhi Capitals</v>
      </c>
      <c r="R163" t="str">
        <f>INDEX(Teams!$B:$B,MATCH(G163,Teams!$A:$A,0))</f>
        <v>Mumbai Indians</v>
      </c>
      <c r="S163" t="str">
        <f>IF(K163="","No result",INDEX(Teams!$B:$B,MATCH(K163,Teams!$A:$A,0)))</f>
        <v>Mumbai Indians</v>
      </c>
      <c r="T163" t="str">
        <f>INDEX(Venues!$B:$B,MATCH(O163,Venues!$A:$A,0))</f>
        <v>Brabourne Stadium</v>
      </c>
      <c r="U163" t="str">
        <f>INDEX(Venues!$C:$C,MATCH(O163,Venues!$A:$A,0))</f>
        <v>Mumbai</v>
      </c>
      <c r="V163" t="str">
        <f>IF(L163&gt;0,L163&amp;" runs",IF(M163&gt;0,M163&amp;" wickets","-"))</f>
        <v>39 runs</v>
      </c>
      <c r="W163">
        <f>IF(G163=K163,1,0)</f>
        <v>1</v>
      </c>
      <c r="X163">
        <f>IF(L163&gt;0,L163,"")</f>
        <v>39</v>
      </c>
      <c r="Y163">
        <f>IF(X163="","",IF(X163&gt;Stats!$B$15,"Outlier",""))</f>
        <v/>
      </c>
      <c r="Z163" t="str">
        <f>P163&amp;" vs "&amp;Q163</f>
        <v>Mumbai Indians vs Delhi Capitals</v>
      </c>
    </row>
    <row r="164" spans="1:26" x14ac:dyDescent="0.25">
      <c r="A164">
        <v>222</v>
      </c>
      <c r="B164">
        <v>2010</v>
      </c>
      <c r="C164" s="5">
        <v>40281</v>
      </c>
      <c r="D164" t="s">
        <v>172</v>
      </c>
      <c r="E164" t="s">
        <v>32</v>
      </c>
      <c r="F164" t="s">
        <v>12</v>
      </c>
      <c r="G164" t="s">
        <v>32</v>
      </c>
      <c r="H164" t="s">
        <v>176</v>
      </c>
      <c r="I164" t="s">
        <v>174</v>
      </c>
      <c r="J164">
        <v>0</v>
      </c>
      <c r="K164" t="s">
        <v>12</v>
      </c>
      <c r="L164">
        <v>0</v>
      </c>
      <c r="M164">
        <v>9</v>
      </c>
      <c r="N164" t="s">
        <v>269</v>
      </c>
      <c r="O164" t="s">
        <v>94</v>
      </c>
      <c r="P164" t="str">
        <f>INDEX(Teams!$B:$B,MATCH(E164,Teams!$A:$A,0))</f>
        <v>Kolkata Knight Riders</v>
      </c>
      <c r="Q164" t="str">
        <f>INDEX(Teams!$B:$B,MATCH(F164,Teams!$A:$A,0))</f>
        <v>Chennai Super Kings</v>
      </c>
      <c r="R164" t="str">
        <f>INDEX(Teams!$B:$B,MATCH(G164,Teams!$A:$A,0))</f>
        <v>Kolkata Knight Riders</v>
      </c>
      <c r="S164" t="str">
        <f>IF(K164="","No result",INDEX(Teams!$B:$B,MATCH(K164,Teams!$A:$A,0)))</f>
        <v>Chennai Super Kings</v>
      </c>
      <c r="T164" t="str">
        <f>INDEX(Venues!$B:$B,MATCH(O164,Venues!$A:$A,0))</f>
        <v>MA Chidambaram Stadium</v>
      </c>
      <c r="U164" t="str">
        <f>INDEX(Venues!$C:$C,MATCH(O164,Venues!$A:$A,0))</f>
        <v>Chennai</v>
      </c>
      <c r="V164" t="str">
        <f>IF(L164&gt;0,L164&amp;" runs",IF(M164&gt;0,M164&amp;" wickets","-"))</f>
        <v>9 wickets</v>
      </c>
      <c r="W164">
        <f>IF(G164=K164,1,0)</f>
        <v>0</v>
      </c>
      <c r="X164">
        <f>IF(L164&gt;0,L164,"")</f>
        <v/>
      </c>
      <c r="Y164">
        <f>IF(X164="","",IF(X164&gt;Stats!$B$15,"Outlier",""))</f>
        <v/>
      </c>
      <c r="Z164" t="str">
        <f>P164&amp;" vs "&amp;Q164</f>
        <v>Kolkata Knight Riders vs Chennai Super Kings</v>
      </c>
    </row>
    <row r="165" spans="1:26" x14ac:dyDescent="0.25">
      <c r="A165">
        <v>223</v>
      </c>
      <c r="B165">
        <v>2010</v>
      </c>
      <c r="C165" s="5">
        <v>40282</v>
      </c>
      <c r="D165" t="s">
        <v>172</v>
      </c>
      <c r="E165" t="s">
        <v>41</v>
      </c>
      <c r="F165" t="s">
        <v>46</v>
      </c>
      <c r="G165" t="s">
        <v>41</v>
      </c>
      <c r="H165" t="s">
        <v>176</v>
      </c>
      <c r="I165" t="s">
        <v>174</v>
      </c>
      <c r="J165">
        <v>0</v>
      </c>
      <c r="K165" t="s">
        <v>46</v>
      </c>
      <c r="L165">
        <v>0</v>
      </c>
      <c r="M165">
        <v>5</v>
      </c>
      <c r="N165" t="s">
        <v>260</v>
      </c>
      <c r="O165" t="s">
        <v>118</v>
      </c>
      <c r="P165" t="str">
        <f>INDEX(Teams!$B:$B,MATCH(E165,Teams!$A:$A,0))</f>
        <v>Rajasthan Royals</v>
      </c>
      <c r="Q165" t="str">
        <f>INDEX(Teams!$B:$B,MATCH(F165,Teams!$A:$A,0))</f>
        <v>Royal Challengers Bangalore</v>
      </c>
      <c r="R165" t="str">
        <f>INDEX(Teams!$B:$B,MATCH(G165,Teams!$A:$A,0))</f>
        <v>Rajasthan Royals</v>
      </c>
      <c r="S165" t="str">
        <f>IF(K165="","No result",INDEX(Teams!$B:$B,MATCH(K165,Teams!$A:$A,0)))</f>
        <v>Royal Challengers Bangalore</v>
      </c>
      <c r="T165" t="str">
        <f>INDEX(Venues!$B:$B,MATCH(O165,Venues!$A:$A,0))</f>
        <v>Sawai Mansingh Stadium</v>
      </c>
      <c r="U165" t="str">
        <f>INDEX(Venues!$C:$C,MATCH(O165,Venues!$A:$A,0))</f>
        <v>Jaipur</v>
      </c>
      <c r="V165" t="str">
        <f>IF(L165&gt;0,L165&amp;" runs",IF(M165&gt;0,M165&amp;" wickets","-"))</f>
        <v>5 wickets</v>
      </c>
      <c r="W165">
        <f>IF(G165=K165,1,0)</f>
        <v>0</v>
      </c>
      <c r="X165">
        <f>IF(L165&gt;0,L165,"")</f>
        <v/>
      </c>
      <c r="Y165">
        <f>IF(X165="","",IF(X165&gt;Stats!$B$15,"Outlier",""))</f>
        <v/>
      </c>
      <c r="Z165" t="str">
        <f>P165&amp;" vs "&amp;Q165</f>
        <v>Rajasthan Royals vs Royal Challengers Bangalore</v>
      </c>
    </row>
    <row r="166" spans="1:26" x14ac:dyDescent="0.25">
      <c r="A166">
        <v>224</v>
      </c>
      <c r="B166">
        <v>2010</v>
      </c>
      <c r="C166" s="5">
        <v>40283</v>
      </c>
      <c r="D166" t="s">
        <v>172</v>
      </c>
      <c r="E166" t="s">
        <v>12</v>
      </c>
      <c r="F166" t="s">
        <v>20</v>
      </c>
      <c r="G166" t="s">
        <v>12</v>
      </c>
      <c r="H166" t="s">
        <v>176</v>
      </c>
      <c r="I166" t="s">
        <v>174</v>
      </c>
      <c r="J166">
        <v>0</v>
      </c>
      <c r="K166" t="s">
        <v>20</v>
      </c>
      <c r="L166">
        <v>0</v>
      </c>
      <c r="M166">
        <v>6</v>
      </c>
      <c r="N166" t="s">
        <v>234</v>
      </c>
      <c r="O166" t="s">
        <v>94</v>
      </c>
      <c r="P166" t="str">
        <f>INDEX(Teams!$B:$B,MATCH(E166,Teams!$A:$A,0))</f>
        <v>Chennai Super Kings</v>
      </c>
      <c r="Q166" t="str">
        <f>INDEX(Teams!$B:$B,MATCH(F166,Teams!$A:$A,0))</f>
        <v>Delhi Capitals</v>
      </c>
      <c r="R166" t="str">
        <f>INDEX(Teams!$B:$B,MATCH(G166,Teams!$A:$A,0))</f>
        <v>Chennai Super Kings</v>
      </c>
      <c r="S166" t="str">
        <f>IF(K166="","No result",INDEX(Teams!$B:$B,MATCH(K166,Teams!$A:$A,0)))</f>
        <v>Delhi Capitals</v>
      </c>
      <c r="T166" t="str">
        <f>INDEX(Venues!$B:$B,MATCH(O166,Venues!$A:$A,0))</f>
        <v>MA Chidambaram Stadium</v>
      </c>
      <c r="U166" t="str">
        <f>INDEX(Venues!$C:$C,MATCH(O166,Venues!$A:$A,0))</f>
        <v>Chennai</v>
      </c>
      <c r="V166" t="str">
        <f>IF(L166&gt;0,L166&amp;" runs",IF(M166&gt;0,M166&amp;" wickets","-"))</f>
        <v>6 wickets</v>
      </c>
      <c r="W166">
        <f>IF(G166=K166,1,0)</f>
        <v>0</v>
      </c>
      <c r="X166">
        <f>IF(L166&gt;0,L166,"")</f>
        <v/>
      </c>
      <c r="Y166">
        <f>IF(X166="","",IF(X166&gt;Stats!$B$15,"Outlier",""))</f>
        <v/>
      </c>
      <c r="Z166" t="str">
        <f>P166&amp;" vs "&amp;Q166</f>
        <v>Chennai Super Kings vs Delhi Capitals</v>
      </c>
    </row>
    <row r="167" spans="1:26" x14ac:dyDescent="0.25">
      <c r="A167">
        <v>225</v>
      </c>
      <c r="B167">
        <v>2010</v>
      </c>
      <c r="C167" s="5">
        <v>40284</v>
      </c>
      <c r="D167" t="s">
        <v>172</v>
      </c>
      <c r="E167" t="s">
        <v>26</v>
      </c>
      <c r="F167" t="s">
        <v>16</v>
      </c>
      <c r="G167" t="s">
        <v>16</v>
      </c>
      <c r="H167" t="s">
        <v>173</v>
      </c>
      <c r="I167" t="s">
        <v>174</v>
      </c>
      <c r="J167">
        <v>0</v>
      </c>
      <c r="K167" t="s">
        <v>16</v>
      </c>
      <c r="L167">
        <v>0</v>
      </c>
      <c r="M167">
        <v>5</v>
      </c>
      <c r="N167" t="s">
        <v>235</v>
      </c>
      <c r="O167" t="s">
        <v>80</v>
      </c>
      <c r="P167" t="str">
        <f>INDEX(Teams!$B:$B,MATCH(E167,Teams!$A:$A,0))</f>
        <v>Kings XI Punjab</v>
      </c>
      <c r="Q167" t="str">
        <f>INDEX(Teams!$B:$B,MATCH(F167,Teams!$A:$A,0))</f>
        <v>Deccan Chargers</v>
      </c>
      <c r="R167" t="str">
        <f>INDEX(Teams!$B:$B,MATCH(G167,Teams!$A:$A,0))</f>
        <v>Deccan Chargers</v>
      </c>
      <c r="S167" t="str">
        <f>IF(K167="","No result",INDEX(Teams!$B:$B,MATCH(K167,Teams!$A:$A,0)))</f>
        <v>Deccan Chargers</v>
      </c>
      <c r="T167" t="str">
        <f>INDEX(Venues!$B:$B,MATCH(O167,Venues!$A:$A,0))</f>
        <v>Himachal Pradesh Cricket Association Stadium</v>
      </c>
      <c r="U167" t="str">
        <f>INDEX(Venues!$C:$C,MATCH(O167,Venues!$A:$A,0))</f>
        <v>Dharamsala</v>
      </c>
      <c r="V167" t="str">
        <f>IF(L167&gt;0,L167&amp;" runs",IF(M167&gt;0,M167&amp;" wickets","-"))</f>
        <v>5 wickets</v>
      </c>
      <c r="W167">
        <f>IF(G167=K167,1,0)</f>
        <v>1</v>
      </c>
      <c r="X167">
        <f>IF(L167&gt;0,L167,"")</f>
        <v/>
      </c>
      <c r="Y167">
        <f>IF(X167="","",IF(X167&gt;Stats!$B$15,"Outlier",""))</f>
        <v/>
      </c>
      <c r="Z167" t="str">
        <f>P167&amp;" vs "&amp;Q167</f>
        <v>Kings XI Punjab vs Deccan Chargers</v>
      </c>
    </row>
    <row r="168" spans="1:26" x14ac:dyDescent="0.25">
      <c r="A168">
        <v>226</v>
      </c>
      <c r="B168">
        <v>2010</v>
      </c>
      <c r="C168" s="5">
        <v>40285</v>
      </c>
      <c r="D168" t="s">
        <v>172</v>
      </c>
      <c r="E168" t="s">
        <v>35</v>
      </c>
      <c r="F168" t="s">
        <v>46</v>
      </c>
      <c r="G168" t="s">
        <v>46</v>
      </c>
      <c r="H168" t="s">
        <v>173</v>
      </c>
      <c r="I168" t="s">
        <v>174</v>
      </c>
      <c r="J168">
        <v>0</v>
      </c>
      <c r="K168" t="s">
        <v>35</v>
      </c>
      <c r="L168">
        <v>57</v>
      </c>
      <c r="M168">
        <v>0</v>
      </c>
      <c r="N168" t="s">
        <v>270</v>
      </c>
      <c r="O168" t="s">
        <v>92</v>
      </c>
      <c r="P168" t="str">
        <f>INDEX(Teams!$B:$B,MATCH(E168,Teams!$A:$A,0))</f>
        <v>Mumbai Indians</v>
      </c>
      <c r="Q168" t="str">
        <f>INDEX(Teams!$B:$B,MATCH(F168,Teams!$A:$A,0))</f>
        <v>Royal Challengers Bangalore</v>
      </c>
      <c r="R168" t="str">
        <f>INDEX(Teams!$B:$B,MATCH(G168,Teams!$A:$A,0))</f>
        <v>Royal Challengers Bangalore</v>
      </c>
      <c r="S168" t="str">
        <f>IF(K168="","No result",INDEX(Teams!$B:$B,MATCH(K168,Teams!$A:$A,0)))</f>
        <v>Mumbai Indians</v>
      </c>
      <c r="T168" t="str">
        <f>INDEX(Venues!$B:$B,MATCH(O168,Venues!$A:$A,0))</f>
        <v>M Chinnaswamy Stadium</v>
      </c>
      <c r="U168" t="str">
        <f>INDEX(Venues!$C:$C,MATCH(O168,Venues!$A:$A,0))</f>
        <v>Bangalore</v>
      </c>
      <c r="V168" t="str">
        <f>IF(L168&gt;0,L168&amp;" runs",IF(M168&gt;0,M168&amp;" wickets","-"))</f>
        <v>57 runs</v>
      </c>
      <c r="W168">
        <f>IF(G168=K168,1,0)</f>
        <v>0</v>
      </c>
      <c r="X168">
        <f>IF(L168&gt;0,L168,"")</f>
        <v>57</v>
      </c>
      <c r="Y168">
        <f>IF(X168="","",IF(X168&gt;Stats!$B$15,"Outlier",""))</f>
        <v/>
      </c>
      <c r="Z168" t="str">
        <f>P168&amp;" vs "&amp;Q168</f>
        <v>Mumbai Indians vs Royal Challengers Bangalore</v>
      </c>
    </row>
    <row r="169" spans="1:26" x14ac:dyDescent="0.25">
      <c r="A169">
        <v>227</v>
      </c>
      <c r="B169">
        <v>2010</v>
      </c>
      <c r="C169" s="5">
        <v>40285</v>
      </c>
      <c r="D169" t="s">
        <v>172</v>
      </c>
      <c r="E169" t="s">
        <v>41</v>
      </c>
      <c r="F169" t="s">
        <v>32</v>
      </c>
      <c r="G169" t="s">
        <v>41</v>
      </c>
      <c r="H169" t="s">
        <v>176</v>
      </c>
      <c r="I169" t="s">
        <v>174</v>
      </c>
      <c r="J169">
        <v>0</v>
      </c>
      <c r="K169" t="s">
        <v>32</v>
      </c>
      <c r="L169">
        <v>0</v>
      </c>
      <c r="M169">
        <v>8</v>
      </c>
      <c r="N169" t="s">
        <v>271</v>
      </c>
      <c r="O169" t="s">
        <v>73</v>
      </c>
      <c r="P169" t="str">
        <f>INDEX(Teams!$B:$B,MATCH(E169,Teams!$A:$A,0))</f>
        <v>Rajasthan Royals</v>
      </c>
      <c r="Q169" t="str">
        <f>INDEX(Teams!$B:$B,MATCH(F169,Teams!$A:$A,0))</f>
        <v>Kolkata Knight Riders</v>
      </c>
      <c r="R169" t="str">
        <f>INDEX(Teams!$B:$B,MATCH(G169,Teams!$A:$A,0))</f>
        <v>Rajasthan Royals</v>
      </c>
      <c r="S169" t="str">
        <f>IF(K169="","No result",INDEX(Teams!$B:$B,MATCH(K169,Teams!$A:$A,0)))</f>
        <v>Kolkata Knight Riders</v>
      </c>
      <c r="T169" t="str">
        <f>INDEX(Venues!$B:$B,MATCH(O169,Venues!$A:$A,0))</f>
        <v>Eden Gardens</v>
      </c>
      <c r="U169" t="str">
        <f>INDEX(Venues!$C:$C,MATCH(O169,Venues!$A:$A,0))</f>
        <v>Kolkata</v>
      </c>
      <c r="V169" t="str">
        <f>IF(L169&gt;0,L169&amp;" runs",IF(M169&gt;0,M169&amp;" wickets","-"))</f>
        <v>8 wickets</v>
      </c>
      <c r="W169">
        <f>IF(G169=K169,1,0)</f>
        <v>0</v>
      </c>
      <c r="X169">
        <f>IF(L169&gt;0,L169,"")</f>
        <v/>
      </c>
      <c r="Y169">
        <f>IF(X169="","",IF(X169&gt;Stats!$B$15,"Outlier",""))</f>
        <v/>
      </c>
      <c r="Z169" t="str">
        <f>P169&amp;" vs "&amp;Q169</f>
        <v>Rajasthan Royals vs Kolkata Knight Riders</v>
      </c>
    </row>
    <row r="170" spans="1:26" x14ac:dyDescent="0.25">
      <c r="A170">
        <v>228</v>
      </c>
      <c r="B170">
        <v>2010</v>
      </c>
      <c r="C170" s="5">
        <v>40286</v>
      </c>
      <c r="D170" t="s">
        <v>172</v>
      </c>
      <c r="E170" t="s">
        <v>26</v>
      </c>
      <c r="F170" t="s">
        <v>12</v>
      </c>
      <c r="G170" t="s">
        <v>12</v>
      </c>
      <c r="H170" t="s">
        <v>173</v>
      </c>
      <c r="I170" t="s">
        <v>174</v>
      </c>
      <c r="J170">
        <v>0</v>
      </c>
      <c r="K170" t="s">
        <v>12</v>
      </c>
      <c r="L170">
        <v>0</v>
      </c>
      <c r="M170">
        <v>6</v>
      </c>
      <c r="N170" t="s">
        <v>189</v>
      </c>
      <c r="O170" t="s">
        <v>80</v>
      </c>
      <c r="P170" t="str">
        <f>INDEX(Teams!$B:$B,MATCH(E170,Teams!$A:$A,0))</f>
        <v>Kings XI Punjab</v>
      </c>
      <c r="Q170" t="str">
        <f>INDEX(Teams!$B:$B,MATCH(F170,Teams!$A:$A,0))</f>
        <v>Chennai Super Kings</v>
      </c>
      <c r="R170" t="str">
        <f>INDEX(Teams!$B:$B,MATCH(G170,Teams!$A:$A,0))</f>
        <v>Chennai Super Kings</v>
      </c>
      <c r="S170" t="str">
        <f>IF(K170="","No result",INDEX(Teams!$B:$B,MATCH(K170,Teams!$A:$A,0)))</f>
        <v>Chennai Super Kings</v>
      </c>
      <c r="T170" t="str">
        <f>INDEX(Venues!$B:$B,MATCH(O170,Venues!$A:$A,0))</f>
        <v>Himachal Pradesh Cricket Association Stadium</v>
      </c>
      <c r="U170" t="str">
        <f>INDEX(Venues!$C:$C,MATCH(O170,Venues!$A:$A,0))</f>
        <v>Dharamsala</v>
      </c>
      <c r="V170" t="str">
        <f>IF(L170&gt;0,L170&amp;" runs",IF(M170&gt;0,M170&amp;" wickets","-"))</f>
        <v>6 wickets</v>
      </c>
      <c r="W170">
        <f>IF(G170=K170,1,0)</f>
        <v>1</v>
      </c>
      <c r="X170">
        <f>IF(L170&gt;0,L170,"")</f>
        <v/>
      </c>
      <c r="Y170">
        <f>IF(X170="","",IF(X170&gt;Stats!$B$15,"Outlier",""))</f>
        <v/>
      </c>
      <c r="Z170" t="str">
        <f>P170&amp;" vs "&amp;Q170</f>
        <v>Kings XI Punjab vs Chennai Super Kings</v>
      </c>
    </row>
    <row r="171" spans="1:26" x14ac:dyDescent="0.25">
      <c r="A171">
        <v>229</v>
      </c>
      <c r="B171">
        <v>2010</v>
      </c>
      <c r="C171" s="5">
        <v>40286</v>
      </c>
      <c r="D171" t="s">
        <v>172</v>
      </c>
      <c r="E171" t="s">
        <v>16</v>
      </c>
      <c r="F171" t="s">
        <v>20</v>
      </c>
      <c r="G171" t="s">
        <v>16</v>
      </c>
      <c r="H171" t="s">
        <v>176</v>
      </c>
      <c r="I171" t="s">
        <v>174</v>
      </c>
      <c r="J171">
        <v>0</v>
      </c>
      <c r="K171" t="s">
        <v>16</v>
      </c>
      <c r="L171">
        <v>11</v>
      </c>
      <c r="M171">
        <v>0</v>
      </c>
      <c r="N171" t="s">
        <v>250</v>
      </c>
      <c r="O171" t="s">
        <v>75</v>
      </c>
      <c r="P171" t="str">
        <f>INDEX(Teams!$B:$B,MATCH(E171,Teams!$A:$A,0))</f>
        <v>Deccan Chargers</v>
      </c>
      <c r="Q171" t="str">
        <f>INDEX(Teams!$B:$B,MATCH(F171,Teams!$A:$A,0))</f>
        <v>Delhi Capitals</v>
      </c>
      <c r="R171" t="str">
        <f>INDEX(Teams!$B:$B,MATCH(G171,Teams!$A:$A,0))</f>
        <v>Deccan Chargers</v>
      </c>
      <c r="S171" t="str">
        <f>IF(K171="","No result",INDEX(Teams!$B:$B,MATCH(K171,Teams!$A:$A,0)))</f>
        <v>Deccan Chargers</v>
      </c>
      <c r="T171" t="str">
        <f>INDEX(Venues!$B:$B,MATCH(O171,Venues!$A:$A,0))</f>
        <v>Feroz Shah Kotla</v>
      </c>
      <c r="U171" t="str">
        <f>INDEX(Venues!$C:$C,MATCH(O171,Venues!$A:$A,0))</f>
        <v>Delhi</v>
      </c>
      <c r="V171" t="str">
        <f>IF(L171&gt;0,L171&amp;" runs",IF(M171&gt;0,M171&amp;" wickets","-"))</f>
        <v>11 runs</v>
      </c>
      <c r="W171">
        <f>IF(G171=K171,1,0)</f>
        <v>1</v>
      </c>
      <c r="X171">
        <f>IF(L171&gt;0,L171,"")</f>
        <v>11</v>
      </c>
      <c r="Y171">
        <f>IF(X171="","",IF(X171&gt;Stats!$B$15,"Outlier",""))</f>
        <v/>
      </c>
      <c r="Z171" t="str">
        <f>P171&amp;" vs "&amp;Q171</f>
        <v>Deccan Chargers vs Delhi Capitals</v>
      </c>
    </row>
    <row r="172" spans="1:26" x14ac:dyDescent="0.25">
      <c r="A172">
        <v>230</v>
      </c>
      <c r="B172">
        <v>2010</v>
      </c>
      <c r="C172" s="5">
        <v>40287</v>
      </c>
      <c r="D172" t="s">
        <v>172</v>
      </c>
      <c r="E172" t="s">
        <v>35</v>
      </c>
      <c r="F172" t="s">
        <v>32</v>
      </c>
      <c r="G172" t="s">
        <v>35</v>
      </c>
      <c r="H172" t="s">
        <v>176</v>
      </c>
      <c r="I172" t="s">
        <v>174</v>
      </c>
      <c r="J172">
        <v>0</v>
      </c>
      <c r="K172" t="s">
        <v>32</v>
      </c>
      <c r="L172">
        <v>0</v>
      </c>
      <c r="M172">
        <v>9</v>
      </c>
      <c r="N172" t="s">
        <v>272</v>
      </c>
      <c r="O172" t="s">
        <v>73</v>
      </c>
      <c r="P172" t="str">
        <f>INDEX(Teams!$B:$B,MATCH(E172,Teams!$A:$A,0))</f>
        <v>Mumbai Indians</v>
      </c>
      <c r="Q172" t="str">
        <f>INDEX(Teams!$B:$B,MATCH(F172,Teams!$A:$A,0))</f>
        <v>Kolkata Knight Riders</v>
      </c>
      <c r="R172" t="str">
        <f>INDEX(Teams!$B:$B,MATCH(G172,Teams!$A:$A,0))</f>
        <v>Mumbai Indians</v>
      </c>
      <c r="S172" t="str">
        <f>IF(K172="","No result",INDEX(Teams!$B:$B,MATCH(K172,Teams!$A:$A,0)))</f>
        <v>Kolkata Knight Riders</v>
      </c>
      <c r="T172" t="str">
        <f>INDEX(Venues!$B:$B,MATCH(O172,Venues!$A:$A,0))</f>
        <v>Eden Gardens</v>
      </c>
      <c r="U172" t="str">
        <f>INDEX(Venues!$C:$C,MATCH(O172,Venues!$A:$A,0))</f>
        <v>Kolkata</v>
      </c>
      <c r="V172" t="str">
        <f>IF(L172&gt;0,L172&amp;" runs",IF(M172&gt;0,M172&amp;" wickets","-"))</f>
        <v>9 wickets</v>
      </c>
      <c r="W172">
        <f>IF(G172=K172,1,0)</f>
        <v>0</v>
      </c>
      <c r="X172">
        <f>IF(L172&gt;0,L172,"")</f>
        <v/>
      </c>
      <c r="Y172">
        <f>IF(X172="","",IF(X172&gt;Stats!$B$15,"Outlier",""))</f>
        <v/>
      </c>
      <c r="Z172" t="str">
        <f>P172&amp;" vs "&amp;Q172</f>
        <v>Mumbai Indians vs Kolkata Knight Riders</v>
      </c>
    </row>
    <row r="173" spans="1:26" x14ac:dyDescent="0.25">
      <c r="A173">
        <v>231</v>
      </c>
      <c r="B173">
        <v>2010</v>
      </c>
      <c r="C173" s="5">
        <v>40289</v>
      </c>
      <c r="D173" t="s">
        <v>172</v>
      </c>
      <c r="E173" t="s">
        <v>35</v>
      </c>
      <c r="F173" t="s">
        <v>46</v>
      </c>
      <c r="G173" t="s">
        <v>35</v>
      </c>
      <c r="H173" t="s">
        <v>176</v>
      </c>
      <c r="I173" t="s">
        <v>174</v>
      </c>
      <c r="J173">
        <v>0</v>
      </c>
      <c r="K173" t="s">
        <v>35</v>
      </c>
      <c r="L173">
        <v>35</v>
      </c>
      <c r="M173">
        <v>0</v>
      </c>
      <c r="N173" t="s">
        <v>268</v>
      </c>
      <c r="O173" t="s">
        <v>65</v>
      </c>
      <c r="P173" t="str">
        <f>INDEX(Teams!$B:$B,MATCH(E173,Teams!$A:$A,0))</f>
        <v>Mumbai Indians</v>
      </c>
      <c r="Q173" t="str">
        <f>INDEX(Teams!$B:$B,MATCH(F173,Teams!$A:$A,0))</f>
        <v>Royal Challengers Bangalore</v>
      </c>
      <c r="R173" t="str">
        <f>INDEX(Teams!$B:$B,MATCH(G173,Teams!$A:$A,0))</f>
        <v>Mumbai Indians</v>
      </c>
      <c r="S173" t="str">
        <f>IF(K173="","No result",INDEX(Teams!$B:$B,MATCH(K173,Teams!$A:$A,0)))</f>
        <v>Mumbai Indians</v>
      </c>
      <c r="T173" t="str">
        <f>INDEX(Venues!$B:$B,MATCH(O173,Venues!$A:$A,0))</f>
        <v>Dr DY Patil Sports Academy</v>
      </c>
      <c r="U173" t="str">
        <f>INDEX(Venues!$C:$C,MATCH(O173,Venues!$A:$A,0))</f>
        <v>Mumbai</v>
      </c>
      <c r="V173" t="str">
        <f>IF(L173&gt;0,L173&amp;" runs",IF(M173&gt;0,M173&amp;" wickets","-"))</f>
        <v>35 runs</v>
      </c>
      <c r="W173">
        <f>IF(G173=K173,1,0)</f>
        <v>1</v>
      </c>
      <c r="X173">
        <f>IF(L173&gt;0,L173,"")</f>
        <v>35</v>
      </c>
      <c r="Y173">
        <f>IF(X173="","",IF(X173&gt;Stats!$B$15,"Outlier",""))</f>
        <v/>
      </c>
      <c r="Z173" t="str">
        <f>P173&amp;" vs "&amp;Q173</f>
        <v>Mumbai Indians vs Royal Challengers Bangalore</v>
      </c>
    </row>
    <row r="174" spans="1:26" x14ac:dyDescent="0.25">
      <c r="A174">
        <v>232</v>
      </c>
      <c r="B174">
        <v>2010</v>
      </c>
      <c r="C174" s="5">
        <v>40290</v>
      </c>
      <c r="D174" t="s">
        <v>172</v>
      </c>
      <c r="E174" t="s">
        <v>12</v>
      </c>
      <c r="F174" t="s">
        <v>16</v>
      </c>
      <c r="G174" t="s">
        <v>12</v>
      </c>
      <c r="H174" t="s">
        <v>176</v>
      </c>
      <c r="I174" t="s">
        <v>174</v>
      </c>
      <c r="J174">
        <v>0</v>
      </c>
      <c r="K174" t="s">
        <v>12</v>
      </c>
      <c r="L174">
        <v>38</v>
      </c>
      <c r="M174">
        <v>0</v>
      </c>
      <c r="N174" t="s">
        <v>273</v>
      </c>
      <c r="O174" t="s">
        <v>65</v>
      </c>
      <c r="P174" t="str">
        <f>INDEX(Teams!$B:$B,MATCH(E174,Teams!$A:$A,0))</f>
        <v>Chennai Super Kings</v>
      </c>
      <c r="Q174" t="str">
        <f>INDEX(Teams!$B:$B,MATCH(F174,Teams!$A:$A,0))</f>
        <v>Deccan Chargers</v>
      </c>
      <c r="R174" t="str">
        <f>INDEX(Teams!$B:$B,MATCH(G174,Teams!$A:$A,0))</f>
        <v>Chennai Super Kings</v>
      </c>
      <c r="S174" t="str">
        <f>IF(K174="","No result",INDEX(Teams!$B:$B,MATCH(K174,Teams!$A:$A,0)))</f>
        <v>Chennai Super Kings</v>
      </c>
      <c r="T174" t="str">
        <f>INDEX(Venues!$B:$B,MATCH(O174,Venues!$A:$A,0))</f>
        <v>Dr DY Patil Sports Academy</v>
      </c>
      <c r="U174" t="str">
        <f>INDEX(Venues!$C:$C,MATCH(O174,Venues!$A:$A,0))</f>
        <v>Mumbai</v>
      </c>
      <c r="V174" t="str">
        <f>IF(L174&gt;0,L174&amp;" runs",IF(M174&gt;0,M174&amp;" wickets","-"))</f>
        <v>38 runs</v>
      </c>
      <c r="W174">
        <f>IF(G174=K174,1,0)</f>
        <v>1</v>
      </c>
      <c r="X174">
        <f>IF(L174&gt;0,L174,"")</f>
        <v>38</v>
      </c>
      <c r="Y174">
        <f>IF(X174="","",IF(X174&gt;Stats!$B$15,"Outlier",""))</f>
        <v/>
      </c>
      <c r="Z174" t="str">
        <f>P174&amp;" vs "&amp;Q174</f>
        <v>Chennai Super Kings vs Deccan Chargers</v>
      </c>
    </row>
    <row r="175" spans="1:26" x14ac:dyDescent="0.25">
      <c r="A175">
        <v>233</v>
      </c>
      <c r="B175">
        <v>2010</v>
      </c>
      <c r="C175" s="5">
        <v>40292</v>
      </c>
      <c r="D175" t="s">
        <v>172</v>
      </c>
      <c r="E175" t="s">
        <v>16</v>
      </c>
      <c r="F175" t="s">
        <v>46</v>
      </c>
      <c r="G175" t="s">
        <v>16</v>
      </c>
      <c r="H175" t="s">
        <v>176</v>
      </c>
      <c r="I175" t="s">
        <v>174</v>
      </c>
      <c r="J175">
        <v>0</v>
      </c>
      <c r="K175" t="s">
        <v>46</v>
      </c>
      <c r="L175">
        <v>0</v>
      </c>
      <c r="M175">
        <v>9</v>
      </c>
      <c r="N175" t="s">
        <v>209</v>
      </c>
      <c r="O175" t="s">
        <v>65</v>
      </c>
      <c r="P175" t="str">
        <f>INDEX(Teams!$B:$B,MATCH(E175,Teams!$A:$A,0))</f>
        <v>Deccan Chargers</v>
      </c>
      <c r="Q175" t="str">
        <f>INDEX(Teams!$B:$B,MATCH(F175,Teams!$A:$A,0))</f>
        <v>Royal Challengers Bangalore</v>
      </c>
      <c r="R175" t="str">
        <f>INDEX(Teams!$B:$B,MATCH(G175,Teams!$A:$A,0))</f>
        <v>Deccan Chargers</v>
      </c>
      <c r="S175" t="str">
        <f>IF(K175="","No result",INDEX(Teams!$B:$B,MATCH(K175,Teams!$A:$A,0)))</f>
        <v>Royal Challengers Bangalore</v>
      </c>
      <c r="T175" t="str">
        <f>INDEX(Venues!$B:$B,MATCH(O175,Venues!$A:$A,0))</f>
        <v>Dr DY Patil Sports Academy</v>
      </c>
      <c r="U175" t="str">
        <f>INDEX(Venues!$C:$C,MATCH(O175,Venues!$A:$A,0))</f>
        <v>Mumbai</v>
      </c>
      <c r="V175" t="str">
        <f>IF(L175&gt;0,L175&amp;" runs",IF(M175&gt;0,M175&amp;" wickets","-"))</f>
        <v>9 wickets</v>
      </c>
      <c r="W175">
        <f>IF(G175=K175,1,0)</f>
        <v>0</v>
      </c>
      <c r="X175">
        <f>IF(L175&gt;0,L175,"")</f>
        <v/>
      </c>
      <c r="Y175">
        <f>IF(X175="","",IF(X175&gt;Stats!$B$15,"Outlier",""))</f>
        <v/>
      </c>
      <c r="Z175" t="str">
        <f>P175&amp;" vs "&amp;Q175</f>
        <v>Deccan Chargers vs Royal Challengers Bangalore</v>
      </c>
    </row>
    <row r="176" spans="1:26" x14ac:dyDescent="0.25">
      <c r="A176">
        <v>234</v>
      </c>
      <c r="B176">
        <v>2010</v>
      </c>
      <c r="C176" s="5">
        <v>40293</v>
      </c>
      <c r="D176" t="s">
        <v>216</v>
      </c>
      <c r="E176" t="s">
        <v>12</v>
      </c>
      <c r="F176" t="s">
        <v>35</v>
      </c>
      <c r="G176" t="s">
        <v>12</v>
      </c>
      <c r="H176" t="s">
        <v>176</v>
      </c>
      <c r="I176" t="s">
        <v>174</v>
      </c>
      <c r="J176">
        <v>0</v>
      </c>
      <c r="K176" t="s">
        <v>12</v>
      </c>
      <c r="L176">
        <v>22</v>
      </c>
      <c r="M176">
        <v>0</v>
      </c>
      <c r="N176" t="s">
        <v>214</v>
      </c>
      <c r="O176" t="s">
        <v>65</v>
      </c>
      <c r="P176" t="str">
        <f>INDEX(Teams!$B:$B,MATCH(E176,Teams!$A:$A,0))</f>
        <v>Chennai Super Kings</v>
      </c>
      <c r="Q176" t="str">
        <f>INDEX(Teams!$B:$B,MATCH(F176,Teams!$A:$A,0))</f>
        <v>Mumbai Indians</v>
      </c>
      <c r="R176" t="str">
        <f>INDEX(Teams!$B:$B,MATCH(G176,Teams!$A:$A,0))</f>
        <v>Chennai Super Kings</v>
      </c>
      <c r="S176" t="str">
        <f>IF(K176="","No result",INDEX(Teams!$B:$B,MATCH(K176,Teams!$A:$A,0)))</f>
        <v>Chennai Super Kings</v>
      </c>
      <c r="T176" t="str">
        <f>INDEX(Venues!$B:$B,MATCH(O176,Venues!$A:$A,0))</f>
        <v>Dr DY Patil Sports Academy</v>
      </c>
      <c r="U176" t="str">
        <f>INDEX(Venues!$C:$C,MATCH(O176,Venues!$A:$A,0))</f>
        <v>Mumbai</v>
      </c>
      <c r="V176" t="str">
        <f>IF(L176&gt;0,L176&amp;" runs",IF(M176&gt;0,M176&amp;" wickets","-"))</f>
        <v>22 runs</v>
      </c>
      <c r="W176">
        <f>IF(G176=K176,1,0)</f>
        <v>1</v>
      </c>
      <c r="X176">
        <f>IF(L176&gt;0,L176,"")</f>
        <v>22</v>
      </c>
      <c r="Y176">
        <f>IF(X176="","",IF(X176&gt;Stats!$B$15,"Outlier",""))</f>
        <v/>
      </c>
      <c r="Z176" t="str">
        <f>P176&amp;" vs "&amp;Q176</f>
        <v>Chennai Super Kings vs Mumbai Indians</v>
      </c>
    </row>
    <row r="177" spans="1:26" x14ac:dyDescent="0.25">
      <c r="A177">
        <v>235</v>
      </c>
      <c r="B177">
        <v>2011</v>
      </c>
      <c r="C177" s="5">
        <v>40641</v>
      </c>
      <c r="D177" t="s">
        <v>172</v>
      </c>
      <c r="E177" t="s">
        <v>12</v>
      </c>
      <c r="F177" t="s">
        <v>32</v>
      </c>
      <c r="G177" t="s">
        <v>12</v>
      </c>
      <c r="H177" t="s">
        <v>176</v>
      </c>
      <c r="I177" t="s">
        <v>174</v>
      </c>
      <c r="J177">
        <v>0</v>
      </c>
      <c r="K177" t="s">
        <v>12</v>
      </c>
      <c r="L177">
        <v>2</v>
      </c>
      <c r="M177">
        <v>0</v>
      </c>
      <c r="N177" t="s">
        <v>274</v>
      </c>
      <c r="O177" t="s">
        <v>94</v>
      </c>
      <c r="P177" t="str">
        <f>INDEX(Teams!$B:$B,MATCH(E177,Teams!$A:$A,0))</f>
        <v>Chennai Super Kings</v>
      </c>
      <c r="Q177" t="str">
        <f>INDEX(Teams!$B:$B,MATCH(F177,Teams!$A:$A,0))</f>
        <v>Kolkata Knight Riders</v>
      </c>
      <c r="R177" t="str">
        <f>INDEX(Teams!$B:$B,MATCH(G177,Teams!$A:$A,0))</f>
        <v>Chennai Super Kings</v>
      </c>
      <c r="S177" t="str">
        <f>IF(K177="","No result",INDEX(Teams!$B:$B,MATCH(K177,Teams!$A:$A,0)))</f>
        <v>Chennai Super Kings</v>
      </c>
      <c r="T177" t="str">
        <f>INDEX(Venues!$B:$B,MATCH(O177,Venues!$A:$A,0))</f>
        <v>MA Chidambaram Stadium</v>
      </c>
      <c r="U177" t="str">
        <f>INDEX(Venues!$C:$C,MATCH(O177,Venues!$A:$A,0))</f>
        <v>Chennai</v>
      </c>
      <c r="V177" t="str">
        <f>IF(L177&gt;0,L177&amp;" runs",IF(M177&gt;0,M177&amp;" wickets","-"))</f>
        <v>2 runs</v>
      </c>
      <c r="W177">
        <f>IF(G177=K177,1,0)</f>
        <v>1</v>
      </c>
      <c r="X177">
        <f>IF(L177&gt;0,L177,"")</f>
        <v>2</v>
      </c>
      <c r="Y177">
        <f>IF(X177="","",IF(X177&gt;Stats!$B$15,"Outlier",""))</f>
        <v/>
      </c>
      <c r="Z177" t="str">
        <f>P177&amp;" vs "&amp;Q177</f>
        <v>Chennai Super Kings vs Kolkata Knight Riders</v>
      </c>
    </row>
    <row r="178" spans="1:26" x14ac:dyDescent="0.25">
      <c r="A178">
        <v>236</v>
      </c>
      <c r="B178">
        <v>2011</v>
      </c>
      <c r="C178" s="5">
        <v>40642</v>
      </c>
      <c r="D178" t="s">
        <v>172</v>
      </c>
      <c r="E178" t="s">
        <v>16</v>
      </c>
      <c r="F178" t="s">
        <v>41</v>
      </c>
      <c r="G178" t="s">
        <v>41</v>
      </c>
      <c r="H178" t="s">
        <v>173</v>
      </c>
      <c r="I178" t="s">
        <v>174</v>
      </c>
      <c r="J178">
        <v>0</v>
      </c>
      <c r="K178" t="s">
        <v>41</v>
      </c>
      <c r="L178">
        <v>0</v>
      </c>
      <c r="M178">
        <v>8</v>
      </c>
      <c r="N178" t="s">
        <v>275</v>
      </c>
      <c r="O178" t="s">
        <v>111</v>
      </c>
      <c r="P178" t="str">
        <f>INDEX(Teams!$B:$B,MATCH(E178,Teams!$A:$A,0))</f>
        <v>Deccan Chargers</v>
      </c>
      <c r="Q178" t="str">
        <f>INDEX(Teams!$B:$B,MATCH(F178,Teams!$A:$A,0))</f>
        <v>Rajasthan Royals</v>
      </c>
      <c r="R178" t="str">
        <f>INDEX(Teams!$B:$B,MATCH(G178,Teams!$A:$A,0))</f>
        <v>Rajasthan Royals</v>
      </c>
      <c r="S178" t="str">
        <f>IF(K178="","No result",INDEX(Teams!$B:$B,MATCH(K178,Teams!$A:$A,0)))</f>
        <v>Rajasthan Royals</v>
      </c>
      <c r="T178" t="str">
        <f>INDEX(Venues!$B:$B,MATCH(O178,Venues!$A:$A,0))</f>
        <v>Rajiv Gandhi International Stadium</v>
      </c>
      <c r="U178" t="str">
        <f>INDEX(Venues!$C:$C,MATCH(O178,Venues!$A:$A,0))</f>
        <v>Hyderabad</v>
      </c>
      <c r="V178" t="str">
        <f>IF(L178&gt;0,L178&amp;" runs",IF(M178&gt;0,M178&amp;" wickets","-"))</f>
        <v>8 wickets</v>
      </c>
      <c r="W178">
        <f>IF(G178=K178,1,0)</f>
        <v>1</v>
      </c>
      <c r="X178">
        <f>IF(L178&gt;0,L178,"")</f>
        <v/>
      </c>
      <c r="Y178">
        <f>IF(X178="","",IF(X178&gt;Stats!$B$15,"Outlier",""))</f>
        <v/>
      </c>
      <c r="Z178" t="str">
        <f>P178&amp;" vs "&amp;Q178</f>
        <v>Deccan Chargers vs Rajasthan Royals</v>
      </c>
    </row>
    <row r="179" spans="1:26" x14ac:dyDescent="0.25">
      <c r="A179">
        <v>237</v>
      </c>
      <c r="B179">
        <v>2011</v>
      </c>
      <c r="C179" s="5">
        <v>40642</v>
      </c>
      <c r="D179" t="s">
        <v>172</v>
      </c>
      <c r="E179" t="s">
        <v>29</v>
      </c>
      <c r="F179" t="s">
        <v>46</v>
      </c>
      <c r="G179" t="s">
        <v>29</v>
      </c>
      <c r="H179" t="s">
        <v>176</v>
      </c>
      <c r="I179" t="s">
        <v>174</v>
      </c>
      <c r="J179">
        <v>0</v>
      </c>
      <c r="K179" t="s">
        <v>46</v>
      </c>
      <c r="L179">
        <v>0</v>
      </c>
      <c r="M179">
        <v>6</v>
      </c>
      <c r="N179" t="s">
        <v>223</v>
      </c>
      <c r="O179" t="s">
        <v>98</v>
      </c>
      <c r="P179" t="str">
        <f>INDEX(Teams!$B:$B,MATCH(E179,Teams!$A:$A,0))</f>
        <v>Kochi Tuskers Kerala</v>
      </c>
      <c r="Q179" t="str">
        <f>INDEX(Teams!$B:$B,MATCH(F179,Teams!$A:$A,0))</f>
        <v>Royal Challengers Bangalore</v>
      </c>
      <c r="R179" t="str">
        <f>INDEX(Teams!$B:$B,MATCH(G179,Teams!$A:$A,0))</f>
        <v>Kochi Tuskers Kerala</v>
      </c>
      <c r="S179" t="str">
        <f>IF(K179="","No result",INDEX(Teams!$B:$B,MATCH(K179,Teams!$A:$A,0)))</f>
        <v>Royal Challengers Bangalore</v>
      </c>
      <c r="T179" t="str">
        <f>INDEX(Venues!$B:$B,MATCH(O179,Venues!$A:$A,0))</f>
        <v>Nehru Stadium</v>
      </c>
      <c r="U179" t="str">
        <f>INDEX(Venues!$C:$C,MATCH(O179,Venues!$A:$A,0))</f>
        <v>Kochi</v>
      </c>
      <c r="V179" t="str">
        <f>IF(L179&gt;0,L179&amp;" runs",IF(M179&gt;0,M179&amp;" wickets","-"))</f>
        <v>6 wickets</v>
      </c>
      <c r="W179">
        <f>IF(G179=K179,1,0)</f>
        <v>0</v>
      </c>
      <c r="X179">
        <f>IF(L179&gt;0,L179,"")</f>
        <v/>
      </c>
      <c r="Y179">
        <f>IF(X179="","",IF(X179&gt;Stats!$B$15,"Outlier",""))</f>
        <v/>
      </c>
      <c r="Z179" t="str">
        <f>P179&amp;" vs "&amp;Q179</f>
        <v>Kochi Tuskers Kerala vs Royal Challengers Bangalore</v>
      </c>
    </row>
    <row r="180" spans="1:26" x14ac:dyDescent="0.25">
      <c r="A180">
        <v>238</v>
      </c>
      <c r="B180">
        <v>2011</v>
      </c>
      <c r="C180" s="5">
        <v>40643</v>
      </c>
      <c r="D180" t="s">
        <v>172</v>
      </c>
      <c r="E180" t="s">
        <v>20</v>
      </c>
      <c r="F180" t="s">
        <v>35</v>
      </c>
      <c r="G180" t="s">
        <v>20</v>
      </c>
      <c r="H180" t="s">
        <v>176</v>
      </c>
      <c r="I180" t="s">
        <v>174</v>
      </c>
      <c r="J180">
        <v>0</v>
      </c>
      <c r="K180" t="s">
        <v>35</v>
      </c>
      <c r="L180">
        <v>0</v>
      </c>
      <c r="M180">
        <v>8</v>
      </c>
      <c r="N180" t="s">
        <v>258</v>
      </c>
      <c r="O180" t="s">
        <v>75</v>
      </c>
      <c r="P180" t="str">
        <f>INDEX(Teams!$B:$B,MATCH(E180,Teams!$A:$A,0))</f>
        <v>Delhi Capitals</v>
      </c>
      <c r="Q180" t="str">
        <f>INDEX(Teams!$B:$B,MATCH(F180,Teams!$A:$A,0))</f>
        <v>Mumbai Indians</v>
      </c>
      <c r="R180" t="str">
        <f>INDEX(Teams!$B:$B,MATCH(G180,Teams!$A:$A,0))</f>
        <v>Delhi Capitals</v>
      </c>
      <c r="S180" t="str">
        <f>IF(K180="","No result",INDEX(Teams!$B:$B,MATCH(K180,Teams!$A:$A,0)))</f>
        <v>Mumbai Indians</v>
      </c>
      <c r="T180" t="str">
        <f>INDEX(Venues!$B:$B,MATCH(O180,Venues!$A:$A,0))</f>
        <v>Feroz Shah Kotla</v>
      </c>
      <c r="U180" t="str">
        <f>INDEX(Venues!$C:$C,MATCH(O180,Venues!$A:$A,0))</f>
        <v>Delhi</v>
      </c>
      <c r="V180" t="str">
        <f>IF(L180&gt;0,L180&amp;" runs",IF(M180&gt;0,M180&amp;" wickets","-"))</f>
        <v>8 wickets</v>
      </c>
      <c r="W180">
        <f>IF(G180=K180,1,0)</f>
        <v>0</v>
      </c>
      <c r="X180">
        <f>IF(L180&gt;0,L180,"")</f>
        <v/>
      </c>
      <c r="Y180">
        <f>IF(X180="","",IF(X180&gt;Stats!$B$15,"Outlier",""))</f>
        <v/>
      </c>
      <c r="Z180" t="str">
        <f>P180&amp;" vs "&amp;Q180</f>
        <v>Delhi Capitals vs Mumbai Indians</v>
      </c>
    </row>
    <row r="181" spans="1:26" x14ac:dyDescent="0.25">
      <c r="A181">
        <v>239</v>
      </c>
      <c r="B181">
        <v>2011</v>
      </c>
      <c r="C181" s="5">
        <v>40643</v>
      </c>
      <c r="D181" t="s">
        <v>172</v>
      </c>
      <c r="E181" t="s">
        <v>26</v>
      </c>
      <c r="F181" t="s">
        <v>38</v>
      </c>
      <c r="G181" t="s">
        <v>26</v>
      </c>
      <c r="H181" t="s">
        <v>176</v>
      </c>
      <c r="I181" t="s">
        <v>174</v>
      </c>
      <c r="J181">
        <v>0</v>
      </c>
      <c r="K181" t="s">
        <v>38</v>
      </c>
      <c r="L181">
        <v>0</v>
      </c>
      <c r="M181">
        <v>7</v>
      </c>
      <c r="N181" t="s">
        <v>276</v>
      </c>
      <c r="O181" t="s">
        <v>65</v>
      </c>
      <c r="P181" t="str">
        <f>INDEX(Teams!$B:$B,MATCH(E181,Teams!$A:$A,0))</f>
        <v>Kings XI Punjab</v>
      </c>
      <c r="Q181" t="str">
        <f>INDEX(Teams!$B:$B,MATCH(F181,Teams!$A:$A,0))</f>
        <v>Pune Warriors</v>
      </c>
      <c r="R181" t="str">
        <f>INDEX(Teams!$B:$B,MATCH(G181,Teams!$A:$A,0))</f>
        <v>Kings XI Punjab</v>
      </c>
      <c r="S181" t="str">
        <f>IF(K181="","No result",INDEX(Teams!$B:$B,MATCH(K181,Teams!$A:$A,0)))</f>
        <v>Pune Warriors</v>
      </c>
      <c r="T181" t="str">
        <f>INDEX(Venues!$B:$B,MATCH(O181,Venues!$A:$A,0))</f>
        <v>Dr DY Patil Sports Academy</v>
      </c>
      <c r="U181" t="str">
        <f>INDEX(Venues!$C:$C,MATCH(O181,Venues!$A:$A,0))</f>
        <v>Mumbai</v>
      </c>
      <c r="V181" t="str">
        <f>IF(L181&gt;0,L181&amp;" runs",IF(M181&gt;0,M181&amp;" wickets","-"))</f>
        <v>7 wickets</v>
      </c>
      <c r="W181">
        <f>IF(G181=K181,1,0)</f>
        <v>0</v>
      </c>
      <c r="X181">
        <f>IF(L181&gt;0,L181,"")</f>
        <v/>
      </c>
      <c r="Y181">
        <f>IF(X181="","",IF(X181&gt;Stats!$B$15,"Outlier",""))</f>
        <v/>
      </c>
      <c r="Z181" t="str">
        <f>P181&amp;" vs "&amp;Q181</f>
        <v>Kings XI Punjab vs Pune Warriors</v>
      </c>
    </row>
    <row r="182" spans="1:26" x14ac:dyDescent="0.25">
      <c r="A182">
        <v>240</v>
      </c>
      <c r="B182">
        <v>2011</v>
      </c>
      <c r="C182" s="5">
        <v>40644</v>
      </c>
      <c r="D182" t="s">
        <v>172</v>
      </c>
      <c r="E182" t="s">
        <v>32</v>
      </c>
      <c r="F182" t="s">
        <v>16</v>
      </c>
      <c r="G182" t="s">
        <v>32</v>
      </c>
      <c r="H182" t="s">
        <v>176</v>
      </c>
      <c r="I182" t="s">
        <v>174</v>
      </c>
      <c r="J182">
        <v>0</v>
      </c>
      <c r="K182" t="s">
        <v>32</v>
      </c>
      <c r="L182">
        <v>9</v>
      </c>
      <c r="M182">
        <v>0</v>
      </c>
      <c r="N182" t="s">
        <v>233</v>
      </c>
      <c r="O182" t="s">
        <v>73</v>
      </c>
      <c r="P182" t="str">
        <f>INDEX(Teams!$B:$B,MATCH(E182,Teams!$A:$A,0))</f>
        <v>Kolkata Knight Riders</v>
      </c>
      <c r="Q182" t="str">
        <f>INDEX(Teams!$B:$B,MATCH(F182,Teams!$A:$A,0))</f>
        <v>Deccan Chargers</v>
      </c>
      <c r="R182" t="str">
        <f>INDEX(Teams!$B:$B,MATCH(G182,Teams!$A:$A,0))</f>
        <v>Kolkata Knight Riders</v>
      </c>
      <c r="S182" t="str">
        <f>IF(K182="","No result",INDEX(Teams!$B:$B,MATCH(K182,Teams!$A:$A,0)))</f>
        <v>Kolkata Knight Riders</v>
      </c>
      <c r="T182" t="str">
        <f>INDEX(Venues!$B:$B,MATCH(O182,Venues!$A:$A,0))</f>
        <v>Eden Gardens</v>
      </c>
      <c r="U182" t="str">
        <f>INDEX(Venues!$C:$C,MATCH(O182,Venues!$A:$A,0))</f>
        <v>Kolkata</v>
      </c>
      <c r="V182" t="str">
        <f>IF(L182&gt;0,L182&amp;" runs",IF(M182&gt;0,M182&amp;" wickets","-"))</f>
        <v>9 runs</v>
      </c>
      <c r="W182">
        <f>IF(G182=K182,1,0)</f>
        <v>1</v>
      </c>
      <c r="X182">
        <f>IF(L182&gt;0,L182,"")</f>
        <v>9</v>
      </c>
      <c r="Y182">
        <f>IF(X182="","",IF(X182&gt;Stats!$B$15,"Outlier",""))</f>
        <v/>
      </c>
      <c r="Z182" t="str">
        <f>P182&amp;" vs "&amp;Q182</f>
        <v>Kolkata Knight Riders vs Deccan Chargers</v>
      </c>
    </row>
    <row r="183" spans="1:26" x14ac:dyDescent="0.25">
      <c r="A183">
        <v>241</v>
      </c>
      <c r="B183">
        <v>2011</v>
      </c>
      <c r="C183" s="5">
        <v>40645</v>
      </c>
      <c r="D183" t="s">
        <v>172</v>
      </c>
      <c r="E183" t="s">
        <v>20</v>
      </c>
      <c r="F183" t="s">
        <v>41</v>
      </c>
      <c r="G183" t="s">
        <v>20</v>
      </c>
      <c r="H183" t="s">
        <v>176</v>
      </c>
      <c r="I183" t="s">
        <v>174</v>
      </c>
      <c r="J183">
        <v>0</v>
      </c>
      <c r="K183" t="s">
        <v>41</v>
      </c>
      <c r="L183">
        <v>0</v>
      </c>
      <c r="M183">
        <v>6</v>
      </c>
      <c r="N183" t="s">
        <v>242</v>
      </c>
      <c r="O183" t="s">
        <v>118</v>
      </c>
      <c r="P183" t="str">
        <f>INDEX(Teams!$B:$B,MATCH(E183,Teams!$A:$A,0))</f>
        <v>Delhi Capitals</v>
      </c>
      <c r="Q183" t="str">
        <f>INDEX(Teams!$B:$B,MATCH(F183,Teams!$A:$A,0))</f>
        <v>Rajasthan Royals</v>
      </c>
      <c r="R183" t="str">
        <f>INDEX(Teams!$B:$B,MATCH(G183,Teams!$A:$A,0))</f>
        <v>Delhi Capitals</v>
      </c>
      <c r="S183" t="str">
        <f>IF(K183="","No result",INDEX(Teams!$B:$B,MATCH(K183,Teams!$A:$A,0)))</f>
        <v>Rajasthan Royals</v>
      </c>
      <c r="T183" t="str">
        <f>INDEX(Venues!$B:$B,MATCH(O183,Venues!$A:$A,0))</f>
        <v>Sawai Mansingh Stadium</v>
      </c>
      <c r="U183" t="str">
        <f>INDEX(Venues!$C:$C,MATCH(O183,Venues!$A:$A,0))</f>
        <v>Jaipur</v>
      </c>
      <c r="V183" t="str">
        <f>IF(L183&gt;0,L183&amp;" runs",IF(M183&gt;0,M183&amp;" wickets","-"))</f>
        <v>6 wickets</v>
      </c>
      <c r="W183">
        <f>IF(G183=K183,1,0)</f>
        <v>0</v>
      </c>
      <c r="X183">
        <f>IF(L183&gt;0,L183,"")</f>
        <v/>
      </c>
      <c r="Y183">
        <f>IF(X183="","",IF(X183&gt;Stats!$B$15,"Outlier",""))</f>
        <v/>
      </c>
      <c r="Z183" t="str">
        <f>P183&amp;" vs "&amp;Q183</f>
        <v>Delhi Capitals vs Rajasthan Royals</v>
      </c>
    </row>
    <row r="184" spans="1:26" x14ac:dyDescent="0.25">
      <c r="A184">
        <v>242</v>
      </c>
      <c r="B184">
        <v>2011</v>
      </c>
      <c r="C184" s="5">
        <v>40645</v>
      </c>
      <c r="D184" t="s">
        <v>172</v>
      </c>
      <c r="E184" t="s">
        <v>46</v>
      </c>
      <c r="F184" t="s">
        <v>35</v>
      </c>
      <c r="G184" t="s">
        <v>35</v>
      </c>
      <c r="H184" t="s">
        <v>173</v>
      </c>
      <c r="I184" t="s">
        <v>174</v>
      </c>
      <c r="J184">
        <v>0</v>
      </c>
      <c r="K184" t="s">
        <v>35</v>
      </c>
      <c r="L184">
        <v>0</v>
      </c>
      <c r="M184">
        <v>9</v>
      </c>
      <c r="N184" t="s">
        <v>217</v>
      </c>
      <c r="O184" t="s">
        <v>92</v>
      </c>
      <c r="P184" t="str">
        <f>INDEX(Teams!$B:$B,MATCH(E184,Teams!$A:$A,0))</f>
        <v>Royal Challengers Bangalore</v>
      </c>
      <c r="Q184" t="str">
        <f>INDEX(Teams!$B:$B,MATCH(F184,Teams!$A:$A,0))</f>
        <v>Mumbai Indians</v>
      </c>
      <c r="R184" t="str">
        <f>INDEX(Teams!$B:$B,MATCH(G184,Teams!$A:$A,0))</f>
        <v>Mumbai Indians</v>
      </c>
      <c r="S184" t="str">
        <f>IF(K184="","No result",INDEX(Teams!$B:$B,MATCH(K184,Teams!$A:$A,0)))</f>
        <v>Mumbai Indians</v>
      </c>
      <c r="T184" t="str">
        <f>INDEX(Venues!$B:$B,MATCH(O184,Venues!$A:$A,0))</f>
        <v>M Chinnaswamy Stadium</v>
      </c>
      <c r="U184" t="str">
        <f>INDEX(Venues!$C:$C,MATCH(O184,Venues!$A:$A,0))</f>
        <v>Bangalore</v>
      </c>
      <c r="V184" t="str">
        <f>IF(L184&gt;0,L184&amp;" runs",IF(M184&gt;0,M184&amp;" wickets","-"))</f>
        <v>9 wickets</v>
      </c>
      <c r="W184">
        <f>IF(G184=K184,1,0)</f>
        <v>1</v>
      </c>
      <c r="X184">
        <f>IF(L184&gt;0,L184,"")</f>
        <v/>
      </c>
      <c r="Y184">
        <f>IF(X184="","",IF(X184&gt;Stats!$B$15,"Outlier",""))</f>
        <v/>
      </c>
      <c r="Z184" t="str">
        <f>P184&amp;" vs "&amp;Q184</f>
        <v>Royal Challengers Bangalore vs Mumbai Indians</v>
      </c>
    </row>
    <row r="185" spans="1:26" x14ac:dyDescent="0.25">
      <c r="A185">
        <v>243</v>
      </c>
      <c r="B185">
        <v>2011</v>
      </c>
      <c r="C185" s="5">
        <v>40646</v>
      </c>
      <c r="D185" t="s">
        <v>172</v>
      </c>
      <c r="E185" t="s">
        <v>12</v>
      </c>
      <c r="F185" t="s">
        <v>26</v>
      </c>
      <c r="G185" t="s">
        <v>26</v>
      </c>
      <c r="H185" t="s">
        <v>173</v>
      </c>
      <c r="I185" t="s">
        <v>174</v>
      </c>
      <c r="J185">
        <v>0</v>
      </c>
      <c r="K185" t="s">
        <v>26</v>
      </c>
      <c r="L185">
        <v>0</v>
      </c>
      <c r="M185">
        <v>6</v>
      </c>
      <c r="N185" t="s">
        <v>277</v>
      </c>
      <c r="O185" t="s">
        <v>109</v>
      </c>
      <c r="P185" t="str">
        <f>INDEX(Teams!$B:$B,MATCH(E185,Teams!$A:$A,0))</f>
        <v>Chennai Super Kings</v>
      </c>
      <c r="Q185" t="str">
        <f>INDEX(Teams!$B:$B,MATCH(F185,Teams!$A:$A,0))</f>
        <v>Kings XI Punjab</v>
      </c>
      <c r="R185" t="str">
        <f>INDEX(Teams!$B:$B,MATCH(G185,Teams!$A:$A,0))</f>
        <v>Kings XI Punjab</v>
      </c>
      <c r="S185" t="str">
        <f>IF(K185="","No result",INDEX(Teams!$B:$B,MATCH(K185,Teams!$A:$A,0)))</f>
        <v>Kings XI Punjab</v>
      </c>
      <c r="T185" t="str">
        <f>INDEX(Venues!$B:$B,MATCH(O185,Venues!$A:$A,0))</f>
        <v>Punjab Cricket Association IS Bindra Stadium</v>
      </c>
      <c r="U185" t="str">
        <f>INDEX(Venues!$C:$C,MATCH(O185,Venues!$A:$A,0))</f>
        <v>Chandigarh</v>
      </c>
      <c r="V185" t="str">
        <f>IF(L185&gt;0,L185&amp;" runs",IF(M185&gt;0,M185&amp;" wickets","-"))</f>
        <v>6 wickets</v>
      </c>
      <c r="W185">
        <f>IF(G185=K185,1,0)</f>
        <v>1</v>
      </c>
      <c r="X185">
        <f>IF(L185&gt;0,L185,"")</f>
        <v/>
      </c>
      <c r="Y185">
        <f>IF(X185="","",IF(X185&gt;Stats!$B$15,"Outlier",""))</f>
        <v/>
      </c>
      <c r="Z185" t="str">
        <f>P185&amp;" vs "&amp;Q185</f>
        <v>Chennai Super Kings vs Kings XI Punjab</v>
      </c>
    </row>
    <row r="186" spans="1:26" x14ac:dyDescent="0.25">
      <c r="A186">
        <v>244</v>
      </c>
      <c r="B186">
        <v>2011</v>
      </c>
      <c r="C186" s="5">
        <v>40646</v>
      </c>
      <c r="D186" t="s">
        <v>172</v>
      </c>
      <c r="E186" t="s">
        <v>29</v>
      </c>
      <c r="F186" t="s">
        <v>38</v>
      </c>
      <c r="G186" t="s">
        <v>29</v>
      </c>
      <c r="H186" t="s">
        <v>176</v>
      </c>
      <c r="I186" t="s">
        <v>174</v>
      </c>
      <c r="J186">
        <v>0</v>
      </c>
      <c r="K186" t="s">
        <v>38</v>
      </c>
      <c r="L186">
        <v>0</v>
      </c>
      <c r="M186">
        <v>4</v>
      </c>
      <c r="N186" t="s">
        <v>278</v>
      </c>
      <c r="O186" t="s">
        <v>65</v>
      </c>
      <c r="P186" t="str">
        <f>INDEX(Teams!$B:$B,MATCH(E186,Teams!$A:$A,0))</f>
        <v>Kochi Tuskers Kerala</v>
      </c>
      <c r="Q186" t="str">
        <f>INDEX(Teams!$B:$B,MATCH(F186,Teams!$A:$A,0))</f>
        <v>Pune Warriors</v>
      </c>
      <c r="R186" t="str">
        <f>INDEX(Teams!$B:$B,MATCH(G186,Teams!$A:$A,0))</f>
        <v>Kochi Tuskers Kerala</v>
      </c>
      <c r="S186" t="str">
        <f>IF(K186="","No result",INDEX(Teams!$B:$B,MATCH(K186,Teams!$A:$A,0)))</f>
        <v>Pune Warriors</v>
      </c>
      <c r="T186" t="str">
        <f>INDEX(Venues!$B:$B,MATCH(O186,Venues!$A:$A,0))</f>
        <v>Dr DY Patil Sports Academy</v>
      </c>
      <c r="U186" t="str">
        <f>INDEX(Venues!$C:$C,MATCH(O186,Venues!$A:$A,0))</f>
        <v>Mumbai</v>
      </c>
      <c r="V186" t="str">
        <f>IF(L186&gt;0,L186&amp;" runs",IF(M186&gt;0,M186&amp;" wickets","-"))</f>
        <v>4 wickets</v>
      </c>
      <c r="W186">
        <f>IF(G186=K186,1,0)</f>
        <v>0</v>
      </c>
      <c r="X186">
        <f>IF(L186&gt;0,L186,"")</f>
        <v/>
      </c>
      <c r="Y186">
        <f>IF(X186="","",IF(X186&gt;Stats!$B$15,"Outlier",""))</f>
        <v/>
      </c>
      <c r="Z186" t="str">
        <f>P186&amp;" vs "&amp;Q186</f>
        <v>Kochi Tuskers Kerala vs Pune Warriors</v>
      </c>
    </row>
    <row r="187" spans="1:26" x14ac:dyDescent="0.25">
      <c r="A187">
        <v>245</v>
      </c>
      <c r="B187">
        <v>2011</v>
      </c>
      <c r="C187" s="5">
        <v>40647</v>
      </c>
      <c r="D187" t="s">
        <v>172</v>
      </c>
      <c r="E187" t="s">
        <v>16</v>
      </c>
      <c r="F187" t="s">
        <v>46</v>
      </c>
      <c r="G187" t="s">
        <v>46</v>
      </c>
      <c r="H187" t="s">
        <v>173</v>
      </c>
      <c r="I187" t="s">
        <v>174</v>
      </c>
      <c r="J187">
        <v>0</v>
      </c>
      <c r="K187" t="s">
        <v>16</v>
      </c>
      <c r="L187">
        <v>33</v>
      </c>
      <c r="M187">
        <v>0</v>
      </c>
      <c r="N187" t="s">
        <v>279</v>
      </c>
      <c r="O187" t="s">
        <v>111</v>
      </c>
      <c r="P187" t="str">
        <f>INDEX(Teams!$B:$B,MATCH(E187,Teams!$A:$A,0))</f>
        <v>Deccan Chargers</v>
      </c>
      <c r="Q187" t="str">
        <f>INDEX(Teams!$B:$B,MATCH(F187,Teams!$A:$A,0))</f>
        <v>Royal Challengers Bangalore</v>
      </c>
      <c r="R187" t="str">
        <f>INDEX(Teams!$B:$B,MATCH(G187,Teams!$A:$A,0))</f>
        <v>Royal Challengers Bangalore</v>
      </c>
      <c r="S187" t="str">
        <f>IF(K187="","No result",INDEX(Teams!$B:$B,MATCH(K187,Teams!$A:$A,0)))</f>
        <v>Deccan Chargers</v>
      </c>
      <c r="T187" t="str">
        <f>INDEX(Venues!$B:$B,MATCH(O187,Venues!$A:$A,0))</f>
        <v>Rajiv Gandhi International Stadium</v>
      </c>
      <c r="U187" t="str">
        <f>INDEX(Venues!$C:$C,MATCH(O187,Venues!$A:$A,0))</f>
        <v>Hyderabad</v>
      </c>
      <c r="V187" t="str">
        <f>IF(L187&gt;0,L187&amp;" runs",IF(M187&gt;0,M187&amp;" wickets","-"))</f>
        <v>33 runs</v>
      </c>
      <c r="W187">
        <f>IF(G187=K187,1,0)</f>
        <v>0</v>
      </c>
      <c r="X187">
        <f>IF(L187&gt;0,L187,"")</f>
        <v>33</v>
      </c>
      <c r="Y187">
        <f>IF(X187="","",IF(X187&gt;Stats!$B$15,"Outlier",""))</f>
        <v/>
      </c>
      <c r="Z187" t="str">
        <f>P187&amp;" vs "&amp;Q187</f>
        <v>Deccan Chargers vs Royal Challengers Bangalore</v>
      </c>
    </row>
    <row r="188" spans="1:26" x14ac:dyDescent="0.25">
      <c r="A188">
        <v>246</v>
      </c>
      <c r="B188">
        <v>2011</v>
      </c>
      <c r="C188" s="5">
        <v>40648</v>
      </c>
      <c r="D188" t="s">
        <v>172</v>
      </c>
      <c r="E188" t="s">
        <v>41</v>
      </c>
      <c r="F188" t="s">
        <v>32</v>
      </c>
      <c r="G188" t="s">
        <v>32</v>
      </c>
      <c r="H188" t="s">
        <v>173</v>
      </c>
      <c r="I188" t="s">
        <v>174</v>
      </c>
      <c r="J188">
        <v>0</v>
      </c>
      <c r="K188" t="s">
        <v>32</v>
      </c>
      <c r="L188">
        <v>0</v>
      </c>
      <c r="M188">
        <v>9</v>
      </c>
      <c r="N188" t="s">
        <v>234</v>
      </c>
      <c r="O188" t="s">
        <v>118</v>
      </c>
      <c r="P188" t="str">
        <f>INDEX(Teams!$B:$B,MATCH(E188,Teams!$A:$A,0))</f>
        <v>Rajasthan Royals</v>
      </c>
      <c r="Q188" t="str">
        <f>INDEX(Teams!$B:$B,MATCH(F188,Teams!$A:$A,0))</f>
        <v>Kolkata Knight Riders</v>
      </c>
      <c r="R188" t="str">
        <f>INDEX(Teams!$B:$B,MATCH(G188,Teams!$A:$A,0))</f>
        <v>Kolkata Knight Riders</v>
      </c>
      <c r="S188" t="str">
        <f>IF(K188="","No result",INDEX(Teams!$B:$B,MATCH(K188,Teams!$A:$A,0)))</f>
        <v>Kolkata Knight Riders</v>
      </c>
      <c r="T188" t="str">
        <f>INDEX(Venues!$B:$B,MATCH(O188,Venues!$A:$A,0))</f>
        <v>Sawai Mansingh Stadium</v>
      </c>
      <c r="U188" t="str">
        <f>INDEX(Venues!$C:$C,MATCH(O188,Venues!$A:$A,0))</f>
        <v>Jaipur</v>
      </c>
      <c r="V188" t="str">
        <f>IF(L188&gt;0,L188&amp;" runs",IF(M188&gt;0,M188&amp;" wickets","-"))</f>
        <v>9 wickets</v>
      </c>
      <c r="W188">
        <f>IF(G188=K188,1,0)</f>
        <v>1</v>
      </c>
      <c r="X188">
        <f>IF(L188&gt;0,L188,"")</f>
        <v/>
      </c>
      <c r="Y188">
        <f>IF(X188="","",IF(X188&gt;Stats!$B$15,"Outlier",""))</f>
        <v/>
      </c>
      <c r="Z188" t="str">
        <f>P188&amp;" vs "&amp;Q188</f>
        <v>Rajasthan Royals vs Kolkata Knight Riders</v>
      </c>
    </row>
    <row r="189" spans="1:26" x14ac:dyDescent="0.25">
      <c r="A189">
        <v>247</v>
      </c>
      <c r="B189">
        <v>2011</v>
      </c>
      <c r="C189" s="5">
        <v>40648</v>
      </c>
      <c r="D189" t="s">
        <v>172</v>
      </c>
      <c r="E189" t="s">
        <v>35</v>
      </c>
      <c r="F189" t="s">
        <v>29</v>
      </c>
      <c r="G189" t="s">
        <v>29</v>
      </c>
      <c r="H189" t="s">
        <v>173</v>
      </c>
      <c r="I189" t="s">
        <v>174</v>
      </c>
      <c r="J189">
        <v>0</v>
      </c>
      <c r="K189" t="s">
        <v>29</v>
      </c>
      <c r="L189">
        <v>0</v>
      </c>
      <c r="M189">
        <v>8</v>
      </c>
      <c r="N189" t="s">
        <v>175</v>
      </c>
      <c r="O189" t="s">
        <v>138</v>
      </c>
      <c r="P189" t="str">
        <f>INDEX(Teams!$B:$B,MATCH(E189,Teams!$A:$A,0))</f>
        <v>Mumbai Indians</v>
      </c>
      <c r="Q189" t="str">
        <f>INDEX(Teams!$B:$B,MATCH(F189,Teams!$A:$A,0))</f>
        <v>Kochi Tuskers Kerala</v>
      </c>
      <c r="R189" t="str">
        <f>INDEX(Teams!$B:$B,MATCH(G189,Teams!$A:$A,0))</f>
        <v>Kochi Tuskers Kerala</v>
      </c>
      <c r="S189" t="str">
        <f>IF(K189="","No result",INDEX(Teams!$B:$B,MATCH(K189,Teams!$A:$A,0)))</f>
        <v>Kochi Tuskers Kerala</v>
      </c>
      <c r="T189" t="str">
        <f>INDEX(Venues!$B:$B,MATCH(O189,Venues!$A:$A,0))</f>
        <v>Wankhede Stadium</v>
      </c>
      <c r="U189" t="str">
        <f>INDEX(Venues!$C:$C,MATCH(O189,Venues!$A:$A,0))</f>
        <v>Mumbai</v>
      </c>
      <c r="V189" t="str">
        <f>IF(L189&gt;0,L189&amp;" runs",IF(M189&gt;0,M189&amp;" wickets","-"))</f>
        <v>8 wickets</v>
      </c>
      <c r="W189">
        <f>IF(G189=K189,1,0)</f>
        <v>1</v>
      </c>
      <c r="X189">
        <f>IF(L189&gt;0,L189,"")</f>
        <v/>
      </c>
      <c r="Y189">
        <f>IF(X189="","",IF(X189&gt;Stats!$B$15,"Outlier",""))</f>
        <v/>
      </c>
      <c r="Z189" t="str">
        <f>P189&amp;" vs "&amp;Q189</f>
        <v>Mumbai Indians vs Kochi Tuskers Kerala</v>
      </c>
    </row>
    <row r="190" spans="1:26" x14ac:dyDescent="0.25">
      <c r="A190">
        <v>248</v>
      </c>
      <c r="B190">
        <v>2011</v>
      </c>
      <c r="C190" s="5">
        <v>40649</v>
      </c>
      <c r="D190" t="s">
        <v>172</v>
      </c>
      <c r="E190" t="s">
        <v>12</v>
      </c>
      <c r="F190" t="s">
        <v>46</v>
      </c>
      <c r="G190" t="s">
        <v>12</v>
      </c>
      <c r="H190" t="s">
        <v>176</v>
      </c>
      <c r="I190" t="s">
        <v>174</v>
      </c>
      <c r="J190">
        <v>0</v>
      </c>
      <c r="K190" t="s">
        <v>12</v>
      </c>
      <c r="L190">
        <v>21</v>
      </c>
      <c r="M190">
        <v>0</v>
      </c>
      <c r="N190" t="s">
        <v>177</v>
      </c>
      <c r="O190" t="s">
        <v>94</v>
      </c>
      <c r="P190" t="str">
        <f>INDEX(Teams!$B:$B,MATCH(E190,Teams!$A:$A,0))</f>
        <v>Chennai Super Kings</v>
      </c>
      <c r="Q190" t="str">
        <f>INDEX(Teams!$B:$B,MATCH(F190,Teams!$A:$A,0))</f>
        <v>Royal Challengers Bangalore</v>
      </c>
      <c r="R190" t="str">
        <f>INDEX(Teams!$B:$B,MATCH(G190,Teams!$A:$A,0))</f>
        <v>Chennai Super Kings</v>
      </c>
      <c r="S190" t="str">
        <f>IF(K190="","No result",INDEX(Teams!$B:$B,MATCH(K190,Teams!$A:$A,0)))</f>
        <v>Chennai Super Kings</v>
      </c>
      <c r="T190" t="str">
        <f>INDEX(Venues!$B:$B,MATCH(O190,Venues!$A:$A,0))</f>
        <v>MA Chidambaram Stadium</v>
      </c>
      <c r="U190" t="str">
        <f>INDEX(Venues!$C:$C,MATCH(O190,Venues!$A:$A,0))</f>
        <v>Chennai</v>
      </c>
      <c r="V190" t="str">
        <f>IF(L190&gt;0,L190&amp;" runs",IF(M190&gt;0,M190&amp;" wickets","-"))</f>
        <v>21 runs</v>
      </c>
      <c r="W190">
        <f>IF(G190=K190,1,0)</f>
        <v>1</v>
      </c>
      <c r="X190">
        <f>IF(L190&gt;0,L190,"")</f>
        <v>21</v>
      </c>
      <c r="Y190">
        <f>IF(X190="","",IF(X190&gt;Stats!$B$15,"Outlier",""))</f>
        <v/>
      </c>
      <c r="Z190" t="str">
        <f>P190&amp;" vs "&amp;Q190</f>
        <v>Chennai Super Kings vs Royal Challengers Bangalore</v>
      </c>
    </row>
    <row r="191" spans="1:26" x14ac:dyDescent="0.25">
      <c r="A191">
        <v>249</v>
      </c>
      <c r="B191">
        <v>2011</v>
      </c>
      <c r="C191" s="5">
        <v>40649</v>
      </c>
      <c r="D191" t="s">
        <v>172</v>
      </c>
      <c r="E191" t="s">
        <v>16</v>
      </c>
      <c r="F191" t="s">
        <v>26</v>
      </c>
      <c r="G191" t="s">
        <v>26</v>
      </c>
      <c r="H191" t="s">
        <v>173</v>
      </c>
      <c r="I191" t="s">
        <v>174</v>
      </c>
      <c r="J191">
        <v>0</v>
      </c>
      <c r="K191" t="s">
        <v>26</v>
      </c>
      <c r="L191">
        <v>0</v>
      </c>
      <c r="M191">
        <v>8</v>
      </c>
      <c r="N191" t="s">
        <v>277</v>
      </c>
      <c r="O191" t="s">
        <v>111</v>
      </c>
      <c r="P191" t="str">
        <f>INDEX(Teams!$B:$B,MATCH(E191,Teams!$A:$A,0))</f>
        <v>Deccan Chargers</v>
      </c>
      <c r="Q191" t="str">
        <f>INDEX(Teams!$B:$B,MATCH(F191,Teams!$A:$A,0))</f>
        <v>Kings XI Punjab</v>
      </c>
      <c r="R191" t="str">
        <f>INDEX(Teams!$B:$B,MATCH(G191,Teams!$A:$A,0))</f>
        <v>Kings XI Punjab</v>
      </c>
      <c r="S191" t="str">
        <f>IF(K191="","No result",INDEX(Teams!$B:$B,MATCH(K191,Teams!$A:$A,0)))</f>
        <v>Kings XI Punjab</v>
      </c>
      <c r="T191" t="str">
        <f>INDEX(Venues!$B:$B,MATCH(O191,Venues!$A:$A,0))</f>
        <v>Rajiv Gandhi International Stadium</v>
      </c>
      <c r="U191" t="str">
        <f>INDEX(Venues!$C:$C,MATCH(O191,Venues!$A:$A,0))</f>
        <v>Hyderabad</v>
      </c>
      <c r="V191" t="str">
        <f>IF(L191&gt;0,L191&amp;" runs",IF(M191&gt;0,M191&amp;" wickets","-"))</f>
        <v>8 wickets</v>
      </c>
      <c r="W191">
        <f>IF(G191=K191,1,0)</f>
        <v>1</v>
      </c>
      <c r="X191">
        <f>IF(L191&gt;0,L191,"")</f>
        <v/>
      </c>
      <c r="Y191">
        <f>IF(X191="","",IF(X191&gt;Stats!$B$15,"Outlier",""))</f>
        <v/>
      </c>
      <c r="Z191" t="str">
        <f>P191&amp;" vs "&amp;Q191</f>
        <v>Deccan Chargers vs Kings XI Punjab</v>
      </c>
    </row>
    <row r="192" spans="1:26" x14ac:dyDescent="0.25">
      <c r="A192">
        <v>250</v>
      </c>
      <c r="B192">
        <v>2011</v>
      </c>
      <c r="C192" s="5">
        <v>40650</v>
      </c>
      <c r="D192" t="s">
        <v>172</v>
      </c>
      <c r="E192" t="s">
        <v>38</v>
      </c>
      <c r="F192" t="s">
        <v>20</v>
      </c>
      <c r="G192" t="s">
        <v>20</v>
      </c>
      <c r="H192" t="s">
        <v>173</v>
      </c>
      <c r="I192" t="s">
        <v>174</v>
      </c>
      <c r="J192">
        <v>0</v>
      </c>
      <c r="K192" t="s">
        <v>20</v>
      </c>
      <c r="L192">
        <v>0</v>
      </c>
      <c r="M192">
        <v>3</v>
      </c>
      <c r="N192" t="s">
        <v>231</v>
      </c>
      <c r="O192" t="s">
        <v>65</v>
      </c>
      <c r="P192" t="str">
        <f>INDEX(Teams!$B:$B,MATCH(E192,Teams!$A:$A,0))</f>
        <v>Pune Warriors</v>
      </c>
      <c r="Q192" t="str">
        <f>INDEX(Teams!$B:$B,MATCH(F192,Teams!$A:$A,0))</f>
        <v>Delhi Capitals</v>
      </c>
      <c r="R192" t="str">
        <f>INDEX(Teams!$B:$B,MATCH(G192,Teams!$A:$A,0))</f>
        <v>Delhi Capitals</v>
      </c>
      <c r="S192" t="str">
        <f>IF(K192="","No result",INDEX(Teams!$B:$B,MATCH(K192,Teams!$A:$A,0)))</f>
        <v>Delhi Capitals</v>
      </c>
      <c r="T192" t="str">
        <f>INDEX(Venues!$B:$B,MATCH(O192,Venues!$A:$A,0))</f>
        <v>Dr DY Patil Sports Academy</v>
      </c>
      <c r="U192" t="str">
        <f>INDEX(Venues!$C:$C,MATCH(O192,Venues!$A:$A,0))</f>
        <v>Mumbai</v>
      </c>
      <c r="V192" t="str">
        <f>IF(L192&gt;0,L192&amp;" runs",IF(M192&gt;0,M192&amp;" wickets","-"))</f>
        <v>3 wickets</v>
      </c>
      <c r="W192">
        <f>IF(G192=K192,1,0)</f>
        <v>1</v>
      </c>
      <c r="X192">
        <f>IF(L192&gt;0,L192,"")</f>
        <v/>
      </c>
      <c r="Y192">
        <f>IF(X192="","",IF(X192&gt;Stats!$B$15,"Outlier",""))</f>
        <v/>
      </c>
      <c r="Z192" t="str">
        <f>P192&amp;" vs "&amp;Q192</f>
        <v>Pune Warriors vs Delhi Capitals</v>
      </c>
    </row>
    <row r="193" spans="1:26" x14ac:dyDescent="0.25">
      <c r="A193">
        <v>251</v>
      </c>
      <c r="B193">
        <v>2011</v>
      </c>
      <c r="C193" s="5">
        <v>40650</v>
      </c>
      <c r="D193" t="s">
        <v>172</v>
      </c>
      <c r="E193" t="s">
        <v>41</v>
      </c>
      <c r="F193" t="s">
        <v>32</v>
      </c>
      <c r="G193" t="s">
        <v>32</v>
      </c>
      <c r="H193" t="s">
        <v>173</v>
      </c>
      <c r="I193" t="s">
        <v>174</v>
      </c>
      <c r="J193">
        <v>0</v>
      </c>
      <c r="K193" t="s">
        <v>32</v>
      </c>
      <c r="L193">
        <v>0</v>
      </c>
      <c r="M193">
        <v>8</v>
      </c>
      <c r="N193" t="s">
        <v>201</v>
      </c>
      <c r="O193" t="s">
        <v>73</v>
      </c>
      <c r="P193" t="str">
        <f>INDEX(Teams!$B:$B,MATCH(E193,Teams!$A:$A,0))</f>
        <v>Rajasthan Royals</v>
      </c>
      <c r="Q193" t="str">
        <f>INDEX(Teams!$B:$B,MATCH(F193,Teams!$A:$A,0))</f>
        <v>Kolkata Knight Riders</v>
      </c>
      <c r="R193" t="str">
        <f>INDEX(Teams!$B:$B,MATCH(G193,Teams!$A:$A,0))</f>
        <v>Kolkata Knight Riders</v>
      </c>
      <c r="S193" t="str">
        <f>IF(K193="","No result",INDEX(Teams!$B:$B,MATCH(K193,Teams!$A:$A,0)))</f>
        <v>Kolkata Knight Riders</v>
      </c>
      <c r="T193" t="str">
        <f>INDEX(Venues!$B:$B,MATCH(O193,Venues!$A:$A,0))</f>
        <v>Eden Gardens</v>
      </c>
      <c r="U193" t="str">
        <f>INDEX(Venues!$C:$C,MATCH(O193,Venues!$A:$A,0))</f>
        <v>Kolkata</v>
      </c>
      <c r="V193" t="str">
        <f>IF(L193&gt;0,L193&amp;" runs",IF(M193&gt;0,M193&amp;" wickets","-"))</f>
        <v>8 wickets</v>
      </c>
      <c r="W193">
        <f>IF(G193=K193,1,0)</f>
        <v>1</v>
      </c>
      <c r="X193">
        <f>IF(L193&gt;0,L193,"")</f>
        <v/>
      </c>
      <c r="Y193">
        <f>IF(X193="","",IF(X193&gt;Stats!$B$15,"Outlier",""))</f>
        <v/>
      </c>
      <c r="Z193" t="str">
        <f>P193&amp;" vs "&amp;Q193</f>
        <v>Rajasthan Royals vs Kolkata Knight Riders</v>
      </c>
    </row>
    <row r="194" spans="1:26" x14ac:dyDescent="0.25">
      <c r="A194">
        <v>252</v>
      </c>
      <c r="B194">
        <v>2011</v>
      </c>
      <c r="C194" s="5">
        <v>40651</v>
      </c>
      <c r="D194" t="s">
        <v>172</v>
      </c>
      <c r="E194" t="s">
        <v>12</v>
      </c>
      <c r="F194" t="s">
        <v>29</v>
      </c>
      <c r="G194" t="s">
        <v>29</v>
      </c>
      <c r="H194" t="s">
        <v>173</v>
      </c>
      <c r="I194" t="s">
        <v>174</v>
      </c>
      <c r="J194">
        <v>1</v>
      </c>
      <c r="K194" t="s">
        <v>29</v>
      </c>
      <c r="L194">
        <v>0</v>
      </c>
      <c r="M194">
        <v>7</v>
      </c>
      <c r="N194" t="s">
        <v>175</v>
      </c>
      <c r="O194" t="s">
        <v>98</v>
      </c>
      <c r="P194" t="str">
        <f>INDEX(Teams!$B:$B,MATCH(E194,Teams!$A:$A,0))</f>
        <v>Chennai Super Kings</v>
      </c>
      <c r="Q194" t="str">
        <f>INDEX(Teams!$B:$B,MATCH(F194,Teams!$A:$A,0))</f>
        <v>Kochi Tuskers Kerala</v>
      </c>
      <c r="R194" t="str">
        <f>INDEX(Teams!$B:$B,MATCH(G194,Teams!$A:$A,0))</f>
        <v>Kochi Tuskers Kerala</v>
      </c>
      <c r="S194" t="str">
        <f>IF(K194="","No result",INDEX(Teams!$B:$B,MATCH(K194,Teams!$A:$A,0)))</f>
        <v>Kochi Tuskers Kerala</v>
      </c>
      <c r="T194" t="str">
        <f>INDEX(Venues!$B:$B,MATCH(O194,Venues!$A:$A,0))</f>
        <v>Nehru Stadium</v>
      </c>
      <c r="U194" t="str">
        <f>INDEX(Venues!$C:$C,MATCH(O194,Venues!$A:$A,0))</f>
        <v>Kochi</v>
      </c>
      <c r="V194" t="str">
        <f>IF(L194&gt;0,L194&amp;" runs",IF(M194&gt;0,M194&amp;" wickets","-"))</f>
        <v>7 wickets</v>
      </c>
      <c r="W194">
        <f>IF(G194=K194,1,0)</f>
        <v>1</v>
      </c>
      <c r="X194">
        <f>IF(L194&gt;0,L194,"")</f>
        <v/>
      </c>
      <c r="Y194">
        <f>IF(X194="","",IF(X194&gt;Stats!$B$15,"Outlier",""))</f>
        <v/>
      </c>
      <c r="Z194" t="str">
        <f>P194&amp;" vs "&amp;Q194</f>
        <v>Chennai Super Kings vs Kochi Tuskers Kerala</v>
      </c>
    </row>
    <row r="195" spans="1:26" x14ac:dyDescent="0.25">
      <c r="A195">
        <v>253</v>
      </c>
      <c r="B195">
        <v>2011</v>
      </c>
      <c r="C195" s="5">
        <v>40652</v>
      </c>
      <c r="D195" t="s">
        <v>172</v>
      </c>
      <c r="E195" t="s">
        <v>16</v>
      </c>
      <c r="F195" t="s">
        <v>20</v>
      </c>
      <c r="G195" t="s">
        <v>16</v>
      </c>
      <c r="H195" t="s">
        <v>176</v>
      </c>
      <c r="I195" t="s">
        <v>174</v>
      </c>
      <c r="J195">
        <v>0</v>
      </c>
      <c r="K195" t="s">
        <v>16</v>
      </c>
      <c r="L195">
        <v>16</v>
      </c>
      <c r="M195">
        <v>0</v>
      </c>
      <c r="N195" t="s">
        <v>280</v>
      </c>
      <c r="O195" t="s">
        <v>75</v>
      </c>
      <c r="P195" t="str">
        <f>INDEX(Teams!$B:$B,MATCH(E195,Teams!$A:$A,0))</f>
        <v>Deccan Chargers</v>
      </c>
      <c r="Q195" t="str">
        <f>INDEX(Teams!$B:$B,MATCH(F195,Teams!$A:$A,0))</f>
        <v>Delhi Capitals</v>
      </c>
      <c r="R195" t="str">
        <f>INDEX(Teams!$B:$B,MATCH(G195,Teams!$A:$A,0))</f>
        <v>Deccan Chargers</v>
      </c>
      <c r="S195" t="str">
        <f>IF(K195="","No result",INDEX(Teams!$B:$B,MATCH(K195,Teams!$A:$A,0)))</f>
        <v>Deccan Chargers</v>
      </c>
      <c r="T195" t="str">
        <f>INDEX(Venues!$B:$B,MATCH(O195,Venues!$A:$A,0))</f>
        <v>Feroz Shah Kotla</v>
      </c>
      <c r="U195" t="str">
        <f>INDEX(Venues!$C:$C,MATCH(O195,Venues!$A:$A,0))</f>
        <v>Delhi</v>
      </c>
      <c r="V195" t="str">
        <f>IF(L195&gt;0,L195&amp;" runs",IF(M195&gt;0,M195&amp;" wickets","-"))</f>
        <v>16 runs</v>
      </c>
      <c r="W195">
        <f>IF(G195=K195,1,0)</f>
        <v>1</v>
      </c>
      <c r="X195">
        <f>IF(L195&gt;0,L195,"")</f>
        <v>16</v>
      </c>
      <c r="Y195">
        <f>IF(X195="","",IF(X195&gt;Stats!$B$15,"Outlier",""))</f>
        <v/>
      </c>
      <c r="Z195" t="str">
        <f>P195&amp;" vs "&amp;Q195</f>
        <v>Deccan Chargers vs Delhi Capitals</v>
      </c>
    </row>
    <row r="196" spans="1:26" x14ac:dyDescent="0.25">
      <c r="A196">
        <v>254</v>
      </c>
      <c r="B196">
        <v>2011</v>
      </c>
      <c r="C196" s="5">
        <v>40653</v>
      </c>
      <c r="D196" t="s">
        <v>172</v>
      </c>
      <c r="E196" t="s">
        <v>38</v>
      </c>
      <c r="F196" t="s">
        <v>35</v>
      </c>
      <c r="G196" t="s">
        <v>38</v>
      </c>
      <c r="H196" t="s">
        <v>176</v>
      </c>
      <c r="I196" t="s">
        <v>174</v>
      </c>
      <c r="J196">
        <v>0</v>
      </c>
      <c r="K196" t="s">
        <v>35</v>
      </c>
      <c r="L196">
        <v>0</v>
      </c>
      <c r="M196">
        <v>7</v>
      </c>
      <c r="N196" t="s">
        <v>281</v>
      </c>
      <c r="O196" t="s">
        <v>138</v>
      </c>
      <c r="P196" t="str">
        <f>INDEX(Teams!$B:$B,MATCH(E196,Teams!$A:$A,0))</f>
        <v>Pune Warriors</v>
      </c>
      <c r="Q196" t="str">
        <f>INDEX(Teams!$B:$B,MATCH(F196,Teams!$A:$A,0))</f>
        <v>Mumbai Indians</v>
      </c>
      <c r="R196" t="str">
        <f>INDEX(Teams!$B:$B,MATCH(G196,Teams!$A:$A,0))</f>
        <v>Pune Warriors</v>
      </c>
      <c r="S196" t="str">
        <f>IF(K196="","No result",INDEX(Teams!$B:$B,MATCH(K196,Teams!$A:$A,0)))</f>
        <v>Mumbai Indians</v>
      </c>
      <c r="T196" t="str">
        <f>INDEX(Venues!$B:$B,MATCH(O196,Venues!$A:$A,0))</f>
        <v>Wankhede Stadium</v>
      </c>
      <c r="U196" t="str">
        <f>INDEX(Venues!$C:$C,MATCH(O196,Venues!$A:$A,0))</f>
        <v>Mumbai</v>
      </c>
      <c r="V196" t="str">
        <f>IF(L196&gt;0,L196&amp;" runs",IF(M196&gt;0,M196&amp;" wickets","-"))</f>
        <v>7 wickets</v>
      </c>
      <c r="W196">
        <f>IF(G196=K196,1,0)</f>
        <v>0</v>
      </c>
      <c r="X196">
        <f>IF(L196&gt;0,L196,"")</f>
        <v/>
      </c>
      <c r="Y196">
        <f>IF(X196="","",IF(X196&gt;Stats!$B$15,"Outlier",""))</f>
        <v/>
      </c>
      <c r="Z196" t="str">
        <f>P196&amp;" vs "&amp;Q196</f>
        <v>Pune Warriors vs Mumbai Indians</v>
      </c>
    </row>
    <row r="197" spans="1:26" x14ac:dyDescent="0.25">
      <c r="A197">
        <v>255</v>
      </c>
      <c r="B197">
        <v>2011</v>
      </c>
      <c r="C197" s="5">
        <v>40653</v>
      </c>
      <c r="D197" t="s">
        <v>172</v>
      </c>
      <c r="E197" t="s">
        <v>29</v>
      </c>
      <c r="F197" t="s">
        <v>32</v>
      </c>
      <c r="G197" t="s">
        <v>32</v>
      </c>
      <c r="H197" t="s">
        <v>173</v>
      </c>
      <c r="I197" t="s">
        <v>174</v>
      </c>
      <c r="J197">
        <v>0</v>
      </c>
      <c r="K197" t="s">
        <v>29</v>
      </c>
      <c r="L197">
        <v>6</v>
      </c>
      <c r="M197">
        <v>0</v>
      </c>
      <c r="N197" t="s">
        <v>204</v>
      </c>
      <c r="O197" t="s">
        <v>73</v>
      </c>
      <c r="P197" t="str">
        <f>INDEX(Teams!$B:$B,MATCH(E197,Teams!$A:$A,0))</f>
        <v>Kochi Tuskers Kerala</v>
      </c>
      <c r="Q197" t="str">
        <f>INDEX(Teams!$B:$B,MATCH(F197,Teams!$A:$A,0))</f>
        <v>Kolkata Knight Riders</v>
      </c>
      <c r="R197" t="str">
        <f>INDEX(Teams!$B:$B,MATCH(G197,Teams!$A:$A,0))</f>
        <v>Kolkata Knight Riders</v>
      </c>
      <c r="S197" t="str">
        <f>IF(K197="","No result",INDEX(Teams!$B:$B,MATCH(K197,Teams!$A:$A,0)))</f>
        <v>Kochi Tuskers Kerala</v>
      </c>
      <c r="T197" t="str">
        <f>INDEX(Venues!$B:$B,MATCH(O197,Venues!$A:$A,0))</f>
        <v>Eden Gardens</v>
      </c>
      <c r="U197" t="str">
        <f>INDEX(Venues!$C:$C,MATCH(O197,Venues!$A:$A,0))</f>
        <v>Kolkata</v>
      </c>
      <c r="V197" t="str">
        <f>IF(L197&gt;0,L197&amp;" runs",IF(M197&gt;0,M197&amp;" wickets","-"))</f>
        <v>6 runs</v>
      </c>
      <c r="W197">
        <f>IF(G197=K197,1,0)</f>
        <v>0</v>
      </c>
      <c r="X197">
        <f>IF(L197&gt;0,L197,"")</f>
        <v>6</v>
      </c>
      <c r="Y197">
        <f>IF(X197="","",IF(X197&gt;Stats!$B$15,"Outlier",""))</f>
        <v/>
      </c>
      <c r="Z197" t="str">
        <f>P197&amp;" vs "&amp;Q197</f>
        <v>Kochi Tuskers Kerala vs Kolkata Knight Riders</v>
      </c>
    </row>
    <row r="198" spans="1:26" x14ac:dyDescent="0.25">
      <c r="A198">
        <v>256</v>
      </c>
      <c r="B198">
        <v>2011</v>
      </c>
      <c r="C198" s="5">
        <v>40654</v>
      </c>
      <c r="D198" t="s">
        <v>172</v>
      </c>
      <c r="E198" t="s">
        <v>26</v>
      </c>
      <c r="F198" t="s">
        <v>41</v>
      </c>
      <c r="G198" t="s">
        <v>41</v>
      </c>
      <c r="H198" t="s">
        <v>173</v>
      </c>
      <c r="I198" t="s">
        <v>174</v>
      </c>
      <c r="J198">
        <v>0</v>
      </c>
      <c r="K198" t="s">
        <v>26</v>
      </c>
      <c r="L198">
        <v>48</v>
      </c>
      <c r="M198">
        <v>0</v>
      </c>
      <c r="N198" t="s">
        <v>192</v>
      </c>
      <c r="O198" t="s">
        <v>109</v>
      </c>
      <c r="P198" t="str">
        <f>INDEX(Teams!$B:$B,MATCH(E198,Teams!$A:$A,0))</f>
        <v>Kings XI Punjab</v>
      </c>
      <c r="Q198" t="str">
        <f>INDEX(Teams!$B:$B,MATCH(F198,Teams!$A:$A,0))</f>
        <v>Rajasthan Royals</v>
      </c>
      <c r="R198" t="str">
        <f>INDEX(Teams!$B:$B,MATCH(G198,Teams!$A:$A,0))</f>
        <v>Rajasthan Royals</v>
      </c>
      <c r="S198" t="str">
        <f>IF(K198="","No result",INDEX(Teams!$B:$B,MATCH(K198,Teams!$A:$A,0)))</f>
        <v>Kings XI Punjab</v>
      </c>
      <c r="T198" t="str">
        <f>INDEX(Venues!$B:$B,MATCH(O198,Venues!$A:$A,0))</f>
        <v>Punjab Cricket Association IS Bindra Stadium</v>
      </c>
      <c r="U198" t="str">
        <f>INDEX(Venues!$C:$C,MATCH(O198,Venues!$A:$A,0))</f>
        <v>Chandigarh</v>
      </c>
      <c r="V198" t="str">
        <f>IF(L198&gt;0,L198&amp;" runs",IF(M198&gt;0,M198&amp;" wickets","-"))</f>
        <v>48 runs</v>
      </c>
      <c r="W198">
        <f>IF(G198=K198,1,0)</f>
        <v>0</v>
      </c>
      <c r="X198">
        <f>IF(L198&gt;0,L198,"")</f>
        <v>48</v>
      </c>
      <c r="Y198">
        <f>IF(X198="","",IF(X198&gt;Stats!$B$15,"Outlier",""))</f>
        <v/>
      </c>
      <c r="Z198" t="str">
        <f>P198&amp;" vs "&amp;Q198</f>
        <v>Kings XI Punjab vs Rajasthan Royals</v>
      </c>
    </row>
    <row r="199" spans="1:26" x14ac:dyDescent="0.25">
      <c r="A199">
        <v>257</v>
      </c>
      <c r="B199">
        <v>2011</v>
      </c>
      <c r="C199" s="5">
        <v>40655</v>
      </c>
      <c r="D199" t="s">
        <v>172</v>
      </c>
      <c r="E199" t="s">
        <v>35</v>
      </c>
      <c r="F199" t="s">
        <v>12</v>
      </c>
      <c r="G199" t="s">
        <v>12</v>
      </c>
      <c r="H199" t="s">
        <v>173</v>
      </c>
      <c r="I199" t="s">
        <v>174</v>
      </c>
      <c r="J199">
        <v>0</v>
      </c>
      <c r="K199" t="s">
        <v>35</v>
      </c>
      <c r="L199">
        <v>8</v>
      </c>
      <c r="M199">
        <v>0</v>
      </c>
      <c r="N199" t="s">
        <v>240</v>
      </c>
      <c r="O199" t="s">
        <v>138</v>
      </c>
      <c r="P199" t="str">
        <f>INDEX(Teams!$B:$B,MATCH(E199,Teams!$A:$A,0))</f>
        <v>Mumbai Indians</v>
      </c>
      <c r="Q199" t="str">
        <f>INDEX(Teams!$B:$B,MATCH(F199,Teams!$A:$A,0))</f>
        <v>Chennai Super Kings</v>
      </c>
      <c r="R199" t="str">
        <f>INDEX(Teams!$B:$B,MATCH(G199,Teams!$A:$A,0))</f>
        <v>Chennai Super Kings</v>
      </c>
      <c r="S199" t="str">
        <f>IF(K199="","No result",INDEX(Teams!$B:$B,MATCH(K199,Teams!$A:$A,0)))</f>
        <v>Mumbai Indians</v>
      </c>
      <c r="T199" t="str">
        <f>INDEX(Venues!$B:$B,MATCH(O199,Venues!$A:$A,0))</f>
        <v>Wankhede Stadium</v>
      </c>
      <c r="U199" t="str">
        <f>INDEX(Venues!$C:$C,MATCH(O199,Venues!$A:$A,0))</f>
        <v>Mumbai</v>
      </c>
      <c r="V199" t="str">
        <f>IF(L199&gt;0,L199&amp;" runs",IF(M199&gt;0,M199&amp;" wickets","-"))</f>
        <v>8 runs</v>
      </c>
      <c r="W199">
        <f>IF(G199=K199,1,0)</f>
        <v>0</v>
      </c>
      <c r="X199">
        <f>IF(L199&gt;0,L199,"")</f>
        <v>8</v>
      </c>
      <c r="Y199">
        <f>IF(X199="","",IF(X199&gt;Stats!$B$15,"Outlier",""))</f>
        <v/>
      </c>
      <c r="Z199" t="str">
        <f>P199&amp;" vs "&amp;Q199</f>
        <v>Mumbai Indians vs Chennai Super Kings</v>
      </c>
    </row>
    <row r="200" spans="1:26" x14ac:dyDescent="0.25">
      <c r="A200">
        <v>258</v>
      </c>
      <c r="B200">
        <v>2011</v>
      </c>
      <c r="C200" s="5">
        <v>40655</v>
      </c>
      <c r="D200" t="s">
        <v>172</v>
      </c>
      <c r="E200" t="s">
        <v>32</v>
      </c>
      <c r="F200" t="s">
        <v>46</v>
      </c>
      <c r="G200" t="s">
        <v>46</v>
      </c>
      <c r="H200" t="s">
        <v>173</v>
      </c>
      <c r="I200" t="s">
        <v>174</v>
      </c>
      <c r="J200">
        <v>0</v>
      </c>
      <c r="K200" t="s">
        <v>46</v>
      </c>
      <c r="L200">
        <v>0</v>
      </c>
      <c r="M200">
        <v>9</v>
      </c>
      <c r="N200" t="s">
        <v>222</v>
      </c>
      <c r="O200" t="s">
        <v>73</v>
      </c>
      <c r="P200" t="str">
        <f>INDEX(Teams!$B:$B,MATCH(E200,Teams!$A:$A,0))</f>
        <v>Kolkata Knight Riders</v>
      </c>
      <c r="Q200" t="str">
        <f>INDEX(Teams!$B:$B,MATCH(F200,Teams!$A:$A,0))</f>
        <v>Royal Challengers Bangalore</v>
      </c>
      <c r="R200" t="str">
        <f>INDEX(Teams!$B:$B,MATCH(G200,Teams!$A:$A,0))</f>
        <v>Royal Challengers Bangalore</v>
      </c>
      <c r="S200" t="str">
        <f>IF(K200="","No result",INDEX(Teams!$B:$B,MATCH(K200,Teams!$A:$A,0)))</f>
        <v>Royal Challengers Bangalore</v>
      </c>
      <c r="T200" t="str">
        <f>INDEX(Venues!$B:$B,MATCH(O200,Venues!$A:$A,0))</f>
        <v>Eden Gardens</v>
      </c>
      <c r="U200" t="str">
        <f>INDEX(Venues!$C:$C,MATCH(O200,Venues!$A:$A,0))</f>
        <v>Kolkata</v>
      </c>
      <c r="V200" t="str">
        <f>IF(L200&gt;0,L200&amp;" runs",IF(M200&gt;0,M200&amp;" wickets","-"))</f>
        <v>9 wickets</v>
      </c>
      <c r="W200">
        <f>IF(G200=K200,1,0)</f>
        <v>1</v>
      </c>
      <c r="X200">
        <f>IF(L200&gt;0,L200,"")</f>
        <v/>
      </c>
      <c r="Y200">
        <f>IF(X200="","",IF(X200&gt;Stats!$B$15,"Outlier",""))</f>
        <v/>
      </c>
      <c r="Z200" t="str">
        <f>P200&amp;" vs "&amp;Q200</f>
        <v>Kolkata Knight Riders vs Royal Challengers Bangalore</v>
      </c>
    </row>
    <row r="201" spans="1:26" x14ac:dyDescent="0.25">
      <c r="A201">
        <v>259</v>
      </c>
      <c r="B201">
        <v>2011</v>
      </c>
      <c r="C201" s="5">
        <v>40656</v>
      </c>
      <c r="D201" t="s">
        <v>172</v>
      </c>
      <c r="E201" t="s">
        <v>20</v>
      </c>
      <c r="F201" t="s">
        <v>26</v>
      </c>
      <c r="G201" t="s">
        <v>26</v>
      </c>
      <c r="H201" t="s">
        <v>173</v>
      </c>
      <c r="I201" t="s">
        <v>174</v>
      </c>
      <c r="J201">
        <v>0</v>
      </c>
      <c r="K201" t="s">
        <v>20</v>
      </c>
      <c r="L201">
        <v>29</v>
      </c>
      <c r="M201">
        <v>0</v>
      </c>
      <c r="N201" t="s">
        <v>257</v>
      </c>
      <c r="O201" t="s">
        <v>75</v>
      </c>
      <c r="P201" t="str">
        <f>INDEX(Teams!$B:$B,MATCH(E201,Teams!$A:$A,0))</f>
        <v>Delhi Capitals</v>
      </c>
      <c r="Q201" t="str">
        <f>INDEX(Teams!$B:$B,MATCH(F201,Teams!$A:$A,0))</f>
        <v>Kings XI Punjab</v>
      </c>
      <c r="R201" t="str">
        <f>INDEX(Teams!$B:$B,MATCH(G201,Teams!$A:$A,0))</f>
        <v>Kings XI Punjab</v>
      </c>
      <c r="S201" t="str">
        <f>IF(K201="","No result",INDEX(Teams!$B:$B,MATCH(K201,Teams!$A:$A,0)))</f>
        <v>Delhi Capitals</v>
      </c>
      <c r="T201" t="str">
        <f>INDEX(Venues!$B:$B,MATCH(O201,Venues!$A:$A,0))</f>
        <v>Feroz Shah Kotla</v>
      </c>
      <c r="U201" t="str">
        <f>INDEX(Venues!$C:$C,MATCH(O201,Venues!$A:$A,0))</f>
        <v>Delhi</v>
      </c>
      <c r="V201" t="str">
        <f>IF(L201&gt;0,L201&amp;" runs",IF(M201&gt;0,M201&amp;" wickets","-"))</f>
        <v>29 runs</v>
      </c>
      <c r="W201">
        <f>IF(G201=K201,1,0)</f>
        <v>0</v>
      </c>
      <c r="X201">
        <f>IF(L201&gt;0,L201,"")</f>
        <v>29</v>
      </c>
      <c r="Y201">
        <f>IF(X201="","",IF(X201&gt;Stats!$B$15,"Outlier",""))</f>
        <v/>
      </c>
      <c r="Z201" t="str">
        <f>P201&amp;" vs "&amp;Q201</f>
        <v>Delhi Capitals vs Kings XI Punjab</v>
      </c>
    </row>
    <row r="202" spans="1:26" x14ac:dyDescent="0.25">
      <c r="A202">
        <v>260</v>
      </c>
      <c r="B202">
        <v>2011</v>
      </c>
      <c r="C202" s="5">
        <v>40657</v>
      </c>
      <c r="D202" t="s">
        <v>172</v>
      </c>
      <c r="E202" t="s">
        <v>35</v>
      </c>
      <c r="F202" t="s">
        <v>16</v>
      </c>
      <c r="G202" t="s">
        <v>16</v>
      </c>
      <c r="H202" t="s">
        <v>173</v>
      </c>
      <c r="I202" t="s">
        <v>174</v>
      </c>
      <c r="J202">
        <v>0</v>
      </c>
      <c r="K202" t="s">
        <v>35</v>
      </c>
      <c r="L202">
        <v>37</v>
      </c>
      <c r="M202">
        <v>0</v>
      </c>
      <c r="N202" t="s">
        <v>258</v>
      </c>
      <c r="O202" t="s">
        <v>111</v>
      </c>
      <c r="P202" t="str">
        <f>INDEX(Teams!$B:$B,MATCH(E202,Teams!$A:$A,0))</f>
        <v>Mumbai Indians</v>
      </c>
      <c r="Q202" t="str">
        <f>INDEX(Teams!$B:$B,MATCH(F202,Teams!$A:$A,0))</f>
        <v>Deccan Chargers</v>
      </c>
      <c r="R202" t="str">
        <f>INDEX(Teams!$B:$B,MATCH(G202,Teams!$A:$A,0))</f>
        <v>Deccan Chargers</v>
      </c>
      <c r="S202" t="str">
        <f>IF(K202="","No result",INDEX(Teams!$B:$B,MATCH(K202,Teams!$A:$A,0)))</f>
        <v>Mumbai Indians</v>
      </c>
      <c r="T202" t="str">
        <f>INDEX(Venues!$B:$B,MATCH(O202,Venues!$A:$A,0))</f>
        <v>Rajiv Gandhi International Stadium</v>
      </c>
      <c r="U202" t="str">
        <f>INDEX(Venues!$C:$C,MATCH(O202,Venues!$A:$A,0))</f>
        <v>Hyderabad</v>
      </c>
      <c r="V202" t="str">
        <f>IF(L202&gt;0,L202&amp;" runs",IF(M202&gt;0,M202&amp;" wickets","-"))</f>
        <v>37 runs</v>
      </c>
      <c r="W202">
        <f>IF(G202=K202,1,0)</f>
        <v>0</v>
      </c>
      <c r="X202">
        <f>IF(L202&gt;0,L202,"")</f>
        <v>37</v>
      </c>
      <c r="Y202">
        <f>IF(X202="","",IF(X202&gt;Stats!$B$15,"Outlier",""))</f>
        <v/>
      </c>
      <c r="Z202" t="str">
        <f>P202&amp;" vs "&amp;Q202</f>
        <v>Mumbai Indians vs Deccan Chargers</v>
      </c>
    </row>
    <row r="203" spans="1:26" x14ac:dyDescent="0.25">
      <c r="A203">
        <v>261</v>
      </c>
      <c r="B203">
        <v>2011</v>
      </c>
      <c r="C203" s="5">
        <v>40657</v>
      </c>
      <c r="D203" t="s">
        <v>172</v>
      </c>
      <c r="E203" t="s">
        <v>29</v>
      </c>
      <c r="F203" t="s">
        <v>41</v>
      </c>
      <c r="G203" t="s">
        <v>41</v>
      </c>
      <c r="H203" t="s">
        <v>173</v>
      </c>
      <c r="I203" t="s">
        <v>174</v>
      </c>
      <c r="J203">
        <v>0</v>
      </c>
      <c r="K203" t="s">
        <v>41</v>
      </c>
      <c r="L203">
        <v>0</v>
      </c>
      <c r="M203">
        <v>8</v>
      </c>
      <c r="N203" t="s">
        <v>242</v>
      </c>
      <c r="O203" t="s">
        <v>118</v>
      </c>
      <c r="P203" t="str">
        <f>INDEX(Teams!$B:$B,MATCH(E203,Teams!$A:$A,0))</f>
        <v>Kochi Tuskers Kerala</v>
      </c>
      <c r="Q203" t="str">
        <f>INDEX(Teams!$B:$B,MATCH(F203,Teams!$A:$A,0))</f>
        <v>Rajasthan Royals</v>
      </c>
      <c r="R203" t="str">
        <f>INDEX(Teams!$B:$B,MATCH(G203,Teams!$A:$A,0))</f>
        <v>Rajasthan Royals</v>
      </c>
      <c r="S203" t="str">
        <f>IF(K203="","No result",INDEX(Teams!$B:$B,MATCH(K203,Teams!$A:$A,0)))</f>
        <v>Rajasthan Royals</v>
      </c>
      <c r="T203" t="str">
        <f>INDEX(Venues!$B:$B,MATCH(O203,Venues!$A:$A,0))</f>
        <v>Sawai Mansingh Stadium</v>
      </c>
      <c r="U203" t="str">
        <f>INDEX(Venues!$C:$C,MATCH(O203,Venues!$A:$A,0))</f>
        <v>Jaipur</v>
      </c>
      <c r="V203" t="str">
        <f>IF(L203&gt;0,L203&amp;" runs",IF(M203&gt;0,M203&amp;" wickets","-"))</f>
        <v>8 wickets</v>
      </c>
      <c r="W203">
        <f>IF(G203=K203,1,0)</f>
        <v>1</v>
      </c>
      <c r="X203">
        <f>IF(L203&gt;0,L203,"")</f>
        <v/>
      </c>
      <c r="Y203">
        <f>IF(X203="","",IF(X203&gt;Stats!$B$15,"Outlier",""))</f>
        <v/>
      </c>
      <c r="Z203" t="str">
        <f>P203&amp;" vs "&amp;Q203</f>
        <v>Kochi Tuskers Kerala vs Rajasthan Royals</v>
      </c>
    </row>
    <row r="204" spans="1:26" x14ac:dyDescent="0.25">
      <c r="A204">
        <v>262</v>
      </c>
      <c r="B204">
        <v>2011</v>
      </c>
      <c r="C204" s="5">
        <v>40658</v>
      </c>
      <c r="D204" t="s">
        <v>172</v>
      </c>
      <c r="E204" t="s">
        <v>12</v>
      </c>
      <c r="F204" t="s">
        <v>38</v>
      </c>
      <c r="G204" t="s">
        <v>38</v>
      </c>
      <c r="H204" t="s">
        <v>173</v>
      </c>
      <c r="I204" t="s">
        <v>174</v>
      </c>
      <c r="J204">
        <v>0</v>
      </c>
      <c r="K204" t="s">
        <v>12</v>
      </c>
      <c r="L204">
        <v>25</v>
      </c>
      <c r="M204">
        <v>0</v>
      </c>
      <c r="N204" t="s">
        <v>177</v>
      </c>
      <c r="O204" t="s">
        <v>94</v>
      </c>
      <c r="P204" t="str">
        <f>INDEX(Teams!$B:$B,MATCH(E204,Teams!$A:$A,0))</f>
        <v>Chennai Super Kings</v>
      </c>
      <c r="Q204" t="str">
        <f>INDEX(Teams!$B:$B,MATCH(F204,Teams!$A:$A,0))</f>
        <v>Pune Warriors</v>
      </c>
      <c r="R204" t="str">
        <f>INDEX(Teams!$B:$B,MATCH(G204,Teams!$A:$A,0))</f>
        <v>Pune Warriors</v>
      </c>
      <c r="S204" t="str">
        <f>IF(K204="","No result",INDEX(Teams!$B:$B,MATCH(K204,Teams!$A:$A,0)))</f>
        <v>Chennai Super Kings</v>
      </c>
      <c r="T204" t="str">
        <f>INDEX(Venues!$B:$B,MATCH(O204,Venues!$A:$A,0))</f>
        <v>MA Chidambaram Stadium</v>
      </c>
      <c r="U204" t="str">
        <f>INDEX(Venues!$C:$C,MATCH(O204,Venues!$A:$A,0))</f>
        <v>Chennai</v>
      </c>
      <c r="V204" t="str">
        <f>IF(L204&gt;0,L204&amp;" runs",IF(M204&gt;0,M204&amp;" wickets","-"))</f>
        <v>25 runs</v>
      </c>
      <c r="W204">
        <f>IF(G204=K204,1,0)</f>
        <v>0</v>
      </c>
      <c r="X204">
        <f>IF(L204&gt;0,L204,"")</f>
        <v>25</v>
      </c>
      <c r="Y204">
        <f>IF(X204="","",IF(X204&gt;Stats!$B$15,"Outlier",""))</f>
        <v/>
      </c>
      <c r="Z204" t="str">
        <f>P204&amp;" vs "&amp;Q204</f>
        <v>Chennai Super Kings vs Pune Warriors</v>
      </c>
    </row>
    <row r="205" spans="1:26" x14ac:dyDescent="0.25">
      <c r="A205">
        <v>263</v>
      </c>
      <c r="B205">
        <v>2011</v>
      </c>
      <c r="C205" s="5">
        <v>40659</v>
      </c>
      <c r="D205" t="s">
        <v>172</v>
      </c>
      <c r="E205" t="s">
        <v>20</v>
      </c>
      <c r="F205" t="s">
        <v>46</v>
      </c>
      <c r="G205" t="s">
        <v>46</v>
      </c>
      <c r="H205" t="s">
        <v>173</v>
      </c>
      <c r="I205" t="s">
        <v>174</v>
      </c>
      <c r="J205">
        <v>0</v>
      </c>
      <c r="K205" t="s">
        <v>46</v>
      </c>
      <c r="L205">
        <v>0</v>
      </c>
      <c r="M205">
        <v>3</v>
      </c>
      <c r="N205" t="s">
        <v>282</v>
      </c>
      <c r="O205" t="s">
        <v>75</v>
      </c>
      <c r="P205" t="str">
        <f>INDEX(Teams!$B:$B,MATCH(E205,Teams!$A:$A,0))</f>
        <v>Delhi Capitals</v>
      </c>
      <c r="Q205" t="str">
        <f>INDEX(Teams!$B:$B,MATCH(F205,Teams!$A:$A,0))</f>
        <v>Royal Challengers Bangalore</v>
      </c>
      <c r="R205" t="str">
        <f>INDEX(Teams!$B:$B,MATCH(G205,Teams!$A:$A,0))</f>
        <v>Royal Challengers Bangalore</v>
      </c>
      <c r="S205" t="str">
        <f>IF(K205="","No result",INDEX(Teams!$B:$B,MATCH(K205,Teams!$A:$A,0)))</f>
        <v>Royal Challengers Bangalore</v>
      </c>
      <c r="T205" t="str">
        <f>INDEX(Venues!$B:$B,MATCH(O205,Venues!$A:$A,0))</f>
        <v>Feroz Shah Kotla</v>
      </c>
      <c r="U205" t="str">
        <f>INDEX(Venues!$C:$C,MATCH(O205,Venues!$A:$A,0))</f>
        <v>Delhi</v>
      </c>
      <c r="V205" t="str">
        <f>IF(L205&gt;0,L205&amp;" runs",IF(M205&gt;0,M205&amp;" wickets","-"))</f>
        <v>3 wickets</v>
      </c>
      <c r="W205">
        <f>IF(G205=K205,1,0)</f>
        <v>1</v>
      </c>
      <c r="X205">
        <f>IF(L205&gt;0,L205,"")</f>
        <v/>
      </c>
      <c r="Y205">
        <f>IF(X205="","",IF(X205&gt;Stats!$B$15,"Outlier",""))</f>
        <v/>
      </c>
      <c r="Z205" t="str">
        <f>P205&amp;" vs "&amp;Q205</f>
        <v>Delhi Capitals vs Royal Challengers Bangalore</v>
      </c>
    </row>
    <row r="206" spans="1:26" x14ac:dyDescent="0.25">
      <c r="A206">
        <v>264</v>
      </c>
      <c r="B206">
        <v>2011</v>
      </c>
      <c r="C206" s="5">
        <v>40660</v>
      </c>
      <c r="D206" t="s">
        <v>172</v>
      </c>
      <c r="E206" t="s">
        <v>38</v>
      </c>
      <c r="F206" t="s">
        <v>12</v>
      </c>
      <c r="G206" t="s">
        <v>38</v>
      </c>
      <c r="H206" t="s">
        <v>176</v>
      </c>
      <c r="I206" t="s">
        <v>174</v>
      </c>
      <c r="J206">
        <v>0</v>
      </c>
      <c r="K206" t="s">
        <v>12</v>
      </c>
      <c r="L206">
        <v>0</v>
      </c>
      <c r="M206">
        <v>8</v>
      </c>
      <c r="N206" t="s">
        <v>273</v>
      </c>
      <c r="O206" t="s">
        <v>65</v>
      </c>
      <c r="P206" t="str">
        <f>INDEX(Teams!$B:$B,MATCH(E206,Teams!$A:$A,0))</f>
        <v>Pune Warriors</v>
      </c>
      <c r="Q206" t="str">
        <f>INDEX(Teams!$B:$B,MATCH(F206,Teams!$A:$A,0))</f>
        <v>Chennai Super Kings</v>
      </c>
      <c r="R206" t="str">
        <f>INDEX(Teams!$B:$B,MATCH(G206,Teams!$A:$A,0))</f>
        <v>Pune Warriors</v>
      </c>
      <c r="S206" t="str">
        <f>IF(K206="","No result",INDEX(Teams!$B:$B,MATCH(K206,Teams!$A:$A,0)))</f>
        <v>Chennai Super Kings</v>
      </c>
      <c r="T206" t="str">
        <f>INDEX(Venues!$B:$B,MATCH(O206,Venues!$A:$A,0))</f>
        <v>Dr DY Patil Sports Academy</v>
      </c>
      <c r="U206" t="str">
        <f>INDEX(Venues!$C:$C,MATCH(O206,Venues!$A:$A,0))</f>
        <v>Mumbai</v>
      </c>
      <c r="V206" t="str">
        <f>IF(L206&gt;0,L206&amp;" runs",IF(M206&gt;0,M206&amp;" wickets","-"))</f>
        <v>8 wickets</v>
      </c>
      <c r="W206">
        <f>IF(G206=K206,1,0)</f>
        <v>0</v>
      </c>
      <c r="X206">
        <f>IF(L206&gt;0,L206,"")</f>
        <v/>
      </c>
      <c r="Y206">
        <f>IF(X206="","",IF(X206&gt;Stats!$B$15,"Outlier",""))</f>
        <v/>
      </c>
      <c r="Z206" t="str">
        <f>P206&amp;" vs "&amp;Q206</f>
        <v>Pune Warriors vs Chennai Super Kings</v>
      </c>
    </row>
    <row r="207" spans="1:26" x14ac:dyDescent="0.25">
      <c r="A207">
        <v>265</v>
      </c>
      <c r="B207">
        <v>2011</v>
      </c>
      <c r="C207" s="5">
        <v>40660</v>
      </c>
      <c r="D207" t="s">
        <v>172</v>
      </c>
      <c r="E207" t="s">
        <v>16</v>
      </c>
      <c r="F207" t="s">
        <v>29</v>
      </c>
      <c r="G207" t="s">
        <v>29</v>
      </c>
      <c r="H207" t="s">
        <v>173</v>
      </c>
      <c r="I207" t="s">
        <v>174</v>
      </c>
      <c r="J207">
        <v>0</v>
      </c>
      <c r="K207" t="s">
        <v>16</v>
      </c>
      <c r="L207">
        <v>55</v>
      </c>
      <c r="M207">
        <v>0</v>
      </c>
      <c r="N207" t="s">
        <v>283</v>
      </c>
      <c r="O207" t="s">
        <v>98</v>
      </c>
      <c r="P207" t="str">
        <f>INDEX(Teams!$B:$B,MATCH(E207,Teams!$A:$A,0))</f>
        <v>Deccan Chargers</v>
      </c>
      <c r="Q207" t="str">
        <f>INDEX(Teams!$B:$B,MATCH(F207,Teams!$A:$A,0))</f>
        <v>Kochi Tuskers Kerala</v>
      </c>
      <c r="R207" t="str">
        <f>INDEX(Teams!$B:$B,MATCH(G207,Teams!$A:$A,0))</f>
        <v>Kochi Tuskers Kerala</v>
      </c>
      <c r="S207" t="str">
        <f>IF(K207="","No result",INDEX(Teams!$B:$B,MATCH(K207,Teams!$A:$A,0)))</f>
        <v>Deccan Chargers</v>
      </c>
      <c r="T207" t="str">
        <f>INDEX(Venues!$B:$B,MATCH(O207,Venues!$A:$A,0))</f>
        <v>Nehru Stadium</v>
      </c>
      <c r="U207" t="str">
        <f>INDEX(Venues!$C:$C,MATCH(O207,Venues!$A:$A,0))</f>
        <v>Kochi</v>
      </c>
      <c r="V207" t="str">
        <f>IF(L207&gt;0,L207&amp;" runs",IF(M207&gt;0,M207&amp;" wickets","-"))</f>
        <v>55 runs</v>
      </c>
      <c r="W207">
        <f>IF(G207=K207,1,0)</f>
        <v>0</v>
      </c>
      <c r="X207">
        <f>IF(L207&gt;0,L207,"")</f>
        <v>55</v>
      </c>
      <c r="Y207">
        <f>IF(X207="","",IF(X207&gt;Stats!$B$15,"Outlier",""))</f>
        <v/>
      </c>
      <c r="Z207" t="str">
        <f>P207&amp;" vs "&amp;Q207</f>
        <v>Deccan Chargers vs Kochi Tuskers Kerala</v>
      </c>
    </row>
    <row r="208" spans="1:26" x14ac:dyDescent="0.25">
      <c r="A208">
        <v>266</v>
      </c>
      <c r="B208">
        <v>2011</v>
      </c>
      <c r="C208" s="5">
        <v>40661</v>
      </c>
      <c r="D208" t="s">
        <v>172</v>
      </c>
      <c r="E208" t="s">
        <v>32</v>
      </c>
      <c r="F208" t="s">
        <v>20</v>
      </c>
      <c r="G208" t="s">
        <v>20</v>
      </c>
      <c r="H208" t="s">
        <v>173</v>
      </c>
      <c r="I208" t="s">
        <v>174</v>
      </c>
      <c r="J208">
        <v>0</v>
      </c>
      <c r="K208" t="s">
        <v>32</v>
      </c>
      <c r="L208">
        <v>17</v>
      </c>
      <c r="M208">
        <v>0</v>
      </c>
      <c r="N208" t="s">
        <v>248</v>
      </c>
      <c r="O208" t="s">
        <v>75</v>
      </c>
      <c r="P208" t="str">
        <f>INDEX(Teams!$B:$B,MATCH(E208,Teams!$A:$A,0))</f>
        <v>Kolkata Knight Riders</v>
      </c>
      <c r="Q208" t="str">
        <f>INDEX(Teams!$B:$B,MATCH(F208,Teams!$A:$A,0))</f>
        <v>Delhi Capitals</v>
      </c>
      <c r="R208" t="str">
        <f>INDEX(Teams!$B:$B,MATCH(G208,Teams!$A:$A,0))</f>
        <v>Delhi Capitals</v>
      </c>
      <c r="S208" t="str">
        <f>IF(K208="","No result",INDEX(Teams!$B:$B,MATCH(K208,Teams!$A:$A,0)))</f>
        <v>Kolkata Knight Riders</v>
      </c>
      <c r="T208" t="str">
        <f>INDEX(Venues!$B:$B,MATCH(O208,Venues!$A:$A,0))</f>
        <v>Feroz Shah Kotla</v>
      </c>
      <c r="U208" t="str">
        <f>INDEX(Venues!$C:$C,MATCH(O208,Venues!$A:$A,0))</f>
        <v>Delhi</v>
      </c>
      <c r="V208" t="str">
        <f>IF(L208&gt;0,L208&amp;" runs",IF(M208&gt;0,M208&amp;" wickets","-"))</f>
        <v>17 runs</v>
      </c>
      <c r="W208">
        <f>IF(G208=K208,1,0)</f>
        <v>0</v>
      </c>
      <c r="X208">
        <f>IF(L208&gt;0,L208,"")</f>
        <v>17</v>
      </c>
      <c r="Y208">
        <f>IF(X208="","",IF(X208&gt;Stats!$B$15,"Outlier",""))</f>
        <v/>
      </c>
      <c r="Z208" t="str">
        <f>P208&amp;" vs "&amp;Q208</f>
        <v>Kolkata Knight Riders vs Delhi Capitals</v>
      </c>
    </row>
    <row r="209" spans="1:26" x14ac:dyDescent="0.25">
      <c r="A209">
        <v>267</v>
      </c>
      <c r="B209">
        <v>2011</v>
      </c>
      <c r="C209" s="5">
        <v>40662</v>
      </c>
      <c r="D209" t="s">
        <v>172</v>
      </c>
      <c r="E209" t="s">
        <v>35</v>
      </c>
      <c r="F209" t="s">
        <v>41</v>
      </c>
      <c r="G209" t="s">
        <v>41</v>
      </c>
      <c r="H209" t="s">
        <v>173</v>
      </c>
      <c r="I209" t="s">
        <v>174</v>
      </c>
      <c r="J209">
        <v>0</v>
      </c>
      <c r="K209" t="s">
        <v>41</v>
      </c>
      <c r="L209">
        <v>0</v>
      </c>
      <c r="M209">
        <v>7</v>
      </c>
      <c r="N209" t="s">
        <v>284</v>
      </c>
      <c r="O209" t="s">
        <v>118</v>
      </c>
      <c r="P209" t="str">
        <f>INDEX(Teams!$B:$B,MATCH(E209,Teams!$A:$A,0))</f>
        <v>Mumbai Indians</v>
      </c>
      <c r="Q209" t="str">
        <f>INDEX(Teams!$B:$B,MATCH(F209,Teams!$A:$A,0))</f>
        <v>Rajasthan Royals</v>
      </c>
      <c r="R209" t="str">
        <f>INDEX(Teams!$B:$B,MATCH(G209,Teams!$A:$A,0))</f>
        <v>Rajasthan Royals</v>
      </c>
      <c r="S209" t="str">
        <f>IF(K209="","No result",INDEX(Teams!$B:$B,MATCH(K209,Teams!$A:$A,0)))</f>
        <v>Rajasthan Royals</v>
      </c>
      <c r="T209" t="str">
        <f>INDEX(Venues!$B:$B,MATCH(O209,Venues!$A:$A,0))</f>
        <v>Sawai Mansingh Stadium</v>
      </c>
      <c r="U209" t="str">
        <f>INDEX(Venues!$C:$C,MATCH(O209,Venues!$A:$A,0))</f>
        <v>Jaipur</v>
      </c>
      <c r="V209" t="str">
        <f>IF(L209&gt;0,L209&amp;" runs",IF(M209&gt;0,M209&amp;" wickets","-"))</f>
        <v>7 wickets</v>
      </c>
      <c r="W209">
        <f>IF(G209=K209,1,0)</f>
        <v>1</v>
      </c>
      <c r="X209">
        <f>IF(L209&gt;0,L209,"")</f>
        <v/>
      </c>
      <c r="Y209">
        <f>IF(X209="","",IF(X209&gt;Stats!$B$15,"Outlier",""))</f>
        <v/>
      </c>
      <c r="Z209" t="str">
        <f>P209&amp;" vs "&amp;Q209</f>
        <v>Mumbai Indians vs Rajasthan Royals</v>
      </c>
    </row>
    <row r="210" spans="1:26" x14ac:dyDescent="0.25">
      <c r="A210">
        <v>268</v>
      </c>
      <c r="B210">
        <v>2011</v>
      </c>
      <c r="C210" s="5">
        <v>40662</v>
      </c>
      <c r="D210" t="s">
        <v>172</v>
      </c>
      <c r="E210" t="s">
        <v>46</v>
      </c>
      <c r="F210" t="s">
        <v>38</v>
      </c>
      <c r="G210" t="s">
        <v>38</v>
      </c>
      <c r="H210" t="s">
        <v>173</v>
      </c>
      <c r="I210" t="s">
        <v>174</v>
      </c>
      <c r="J210">
        <v>0</v>
      </c>
      <c r="K210" t="s">
        <v>46</v>
      </c>
      <c r="L210">
        <v>26</v>
      </c>
      <c r="M210">
        <v>0</v>
      </c>
      <c r="N210" t="s">
        <v>282</v>
      </c>
      <c r="O210" t="s">
        <v>92</v>
      </c>
      <c r="P210" t="str">
        <f>INDEX(Teams!$B:$B,MATCH(E210,Teams!$A:$A,0))</f>
        <v>Royal Challengers Bangalore</v>
      </c>
      <c r="Q210" t="str">
        <f>INDEX(Teams!$B:$B,MATCH(F210,Teams!$A:$A,0))</f>
        <v>Pune Warriors</v>
      </c>
      <c r="R210" t="str">
        <f>INDEX(Teams!$B:$B,MATCH(G210,Teams!$A:$A,0))</f>
        <v>Pune Warriors</v>
      </c>
      <c r="S210" t="str">
        <f>IF(K210="","No result",INDEX(Teams!$B:$B,MATCH(K210,Teams!$A:$A,0)))</f>
        <v>Royal Challengers Bangalore</v>
      </c>
      <c r="T210" t="str">
        <f>INDEX(Venues!$B:$B,MATCH(O210,Venues!$A:$A,0))</f>
        <v>M Chinnaswamy Stadium</v>
      </c>
      <c r="U210" t="str">
        <f>INDEX(Venues!$C:$C,MATCH(O210,Venues!$A:$A,0))</f>
        <v>Bangalore</v>
      </c>
      <c r="V210" t="str">
        <f>IF(L210&gt;0,L210&amp;" runs",IF(M210&gt;0,M210&amp;" wickets","-"))</f>
        <v>26 runs</v>
      </c>
      <c r="W210">
        <f>IF(G210=K210,1,0)</f>
        <v>0</v>
      </c>
      <c r="X210">
        <f>IF(L210&gt;0,L210,"")</f>
        <v>26</v>
      </c>
      <c r="Y210">
        <f>IF(X210="","",IF(X210&gt;Stats!$B$15,"Outlier",""))</f>
        <v/>
      </c>
      <c r="Z210" t="str">
        <f>P210&amp;" vs "&amp;Q210</f>
        <v>Royal Challengers Bangalore vs Pune Warriors</v>
      </c>
    </row>
    <row r="211" spans="1:26" x14ac:dyDescent="0.25">
      <c r="A211">
        <v>269</v>
      </c>
      <c r="B211">
        <v>2011</v>
      </c>
      <c r="C211" s="5">
        <v>40663</v>
      </c>
      <c r="D211" t="s">
        <v>172</v>
      </c>
      <c r="E211" t="s">
        <v>20</v>
      </c>
      <c r="F211" t="s">
        <v>29</v>
      </c>
      <c r="G211" t="s">
        <v>20</v>
      </c>
      <c r="H211" t="s">
        <v>176</v>
      </c>
      <c r="I211" t="s">
        <v>174</v>
      </c>
      <c r="J211">
        <v>0</v>
      </c>
      <c r="K211" t="s">
        <v>20</v>
      </c>
      <c r="L211">
        <v>38</v>
      </c>
      <c r="M211">
        <v>0</v>
      </c>
      <c r="N211" t="s">
        <v>182</v>
      </c>
      <c r="O211" t="s">
        <v>98</v>
      </c>
      <c r="P211" t="str">
        <f>INDEX(Teams!$B:$B,MATCH(E211,Teams!$A:$A,0))</f>
        <v>Delhi Capitals</v>
      </c>
      <c r="Q211" t="str">
        <f>INDEX(Teams!$B:$B,MATCH(F211,Teams!$A:$A,0))</f>
        <v>Kochi Tuskers Kerala</v>
      </c>
      <c r="R211" t="str">
        <f>INDEX(Teams!$B:$B,MATCH(G211,Teams!$A:$A,0))</f>
        <v>Delhi Capitals</v>
      </c>
      <c r="S211" t="str">
        <f>IF(K211="","No result",INDEX(Teams!$B:$B,MATCH(K211,Teams!$A:$A,0)))</f>
        <v>Delhi Capitals</v>
      </c>
      <c r="T211" t="str">
        <f>INDEX(Venues!$B:$B,MATCH(O211,Venues!$A:$A,0))</f>
        <v>Nehru Stadium</v>
      </c>
      <c r="U211" t="str">
        <f>INDEX(Venues!$C:$C,MATCH(O211,Venues!$A:$A,0))</f>
        <v>Kochi</v>
      </c>
      <c r="V211" t="str">
        <f>IF(L211&gt;0,L211&amp;" runs",IF(M211&gt;0,M211&amp;" wickets","-"))</f>
        <v>38 runs</v>
      </c>
      <c r="W211">
        <f>IF(G211=K211,1,0)</f>
        <v>1</v>
      </c>
      <c r="X211">
        <f>IF(L211&gt;0,L211,"")</f>
        <v>38</v>
      </c>
      <c r="Y211">
        <f>IF(X211="","",IF(X211&gt;Stats!$B$15,"Outlier",""))</f>
        <v/>
      </c>
      <c r="Z211" t="str">
        <f>P211&amp;" vs "&amp;Q211</f>
        <v>Delhi Capitals vs Kochi Tuskers Kerala</v>
      </c>
    </row>
    <row r="212" spans="1:26" x14ac:dyDescent="0.25">
      <c r="A212">
        <v>270</v>
      </c>
      <c r="B212">
        <v>2011</v>
      </c>
      <c r="C212" s="5">
        <v>40663</v>
      </c>
      <c r="D212" t="s">
        <v>172</v>
      </c>
      <c r="E212" t="s">
        <v>26</v>
      </c>
      <c r="F212" t="s">
        <v>32</v>
      </c>
      <c r="G212" t="s">
        <v>32</v>
      </c>
      <c r="H212" t="s">
        <v>173</v>
      </c>
      <c r="I212" t="s">
        <v>174</v>
      </c>
      <c r="J212">
        <v>0</v>
      </c>
      <c r="K212" t="s">
        <v>32</v>
      </c>
      <c r="L212">
        <v>0</v>
      </c>
      <c r="M212">
        <v>8</v>
      </c>
      <c r="N212" t="s">
        <v>285</v>
      </c>
      <c r="O212" t="s">
        <v>73</v>
      </c>
      <c r="P212" t="str">
        <f>INDEX(Teams!$B:$B,MATCH(E212,Teams!$A:$A,0))</f>
        <v>Kings XI Punjab</v>
      </c>
      <c r="Q212" t="str">
        <f>INDEX(Teams!$B:$B,MATCH(F212,Teams!$A:$A,0))</f>
        <v>Kolkata Knight Riders</v>
      </c>
      <c r="R212" t="str">
        <f>INDEX(Teams!$B:$B,MATCH(G212,Teams!$A:$A,0))</f>
        <v>Kolkata Knight Riders</v>
      </c>
      <c r="S212" t="str">
        <f>IF(K212="","No result",INDEX(Teams!$B:$B,MATCH(K212,Teams!$A:$A,0)))</f>
        <v>Kolkata Knight Riders</v>
      </c>
      <c r="T212" t="str">
        <f>INDEX(Venues!$B:$B,MATCH(O212,Venues!$A:$A,0))</f>
        <v>Eden Gardens</v>
      </c>
      <c r="U212" t="str">
        <f>INDEX(Venues!$C:$C,MATCH(O212,Venues!$A:$A,0))</f>
        <v>Kolkata</v>
      </c>
      <c r="V212" t="str">
        <f>IF(L212&gt;0,L212&amp;" runs",IF(M212&gt;0,M212&amp;" wickets","-"))</f>
        <v>8 wickets</v>
      </c>
      <c r="W212">
        <f>IF(G212=K212,1,0)</f>
        <v>1</v>
      </c>
      <c r="X212">
        <f>IF(L212&gt;0,L212,"")</f>
        <v/>
      </c>
      <c r="Y212">
        <f>IF(X212="","",IF(X212&gt;Stats!$B$15,"Outlier",""))</f>
        <v/>
      </c>
      <c r="Z212" t="str">
        <f>P212&amp;" vs "&amp;Q212</f>
        <v>Kings XI Punjab vs Kolkata Knight Riders</v>
      </c>
    </row>
    <row r="213" spans="1:26" x14ac:dyDescent="0.25">
      <c r="A213">
        <v>271</v>
      </c>
      <c r="B213">
        <v>2011</v>
      </c>
      <c r="C213" s="5">
        <v>40664</v>
      </c>
      <c r="D213" t="s">
        <v>172</v>
      </c>
      <c r="E213" t="s">
        <v>38</v>
      </c>
      <c r="F213" t="s">
        <v>41</v>
      </c>
      <c r="G213" t="s">
        <v>41</v>
      </c>
      <c r="H213" t="s">
        <v>173</v>
      </c>
      <c r="I213" t="s">
        <v>174</v>
      </c>
      <c r="J213">
        <v>0</v>
      </c>
      <c r="K213" t="s">
        <v>41</v>
      </c>
      <c r="L213">
        <v>0</v>
      </c>
      <c r="M213">
        <v>6</v>
      </c>
      <c r="N213" t="s">
        <v>239</v>
      </c>
      <c r="O213" t="s">
        <v>118</v>
      </c>
      <c r="P213" t="str">
        <f>INDEX(Teams!$B:$B,MATCH(E213,Teams!$A:$A,0))</f>
        <v>Pune Warriors</v>
      </c>
      <c r="Q213" t="str">
        <f>INDEX(Teams!$B:$B,MATCH(F213,Teams!$A:$A,0))</f>
        <v>Rajasthan Royals</v>
      </c>
      <c r="R213" t="str">
        <f>INDEX(Teams!$B:$B,MATCH(G213,Teams!$A:$A,0))</f>
        <v>Rajasthan Royals</v>
      </c>
      <c r="S213" t="str">
        <f>IF(K213="","No result",INDEX(Teams!$B:$B,MATCH(K213,Teams!$A:$A,0)))</f>
        <v>Rajasthan Royals</v>
      </c>
      <c r="T213" t="str">
        <f>INDEX(Venues!$B:$B,MATCH(O213,Venues!$A:$A,0))</f>
        <v>Sawai Mansingh Stadium</v>
      </c>
      <c r="U213" t="str">
        <f>INDEX(Venues!$C:$C,MATCH(O213,Venues!$A:$A,0))</f>
        <v>Jaipur</v>
      </c>
      <c r="V213" t="str">
        <f>IF(L213&gt;0,L213&amp;" runs",IF(M213&gt;0,M213&amp;" wickets","-"))</f>
        <v>6 wickets</v>
      </c>
      <c r="W213">
        <f>IF(G213=K213,1,0)</f>
        <v>1</v>
      </c>
      <c r="X213">
        <f>IF(L213&gt;0,L213,"")</f>
        <v/>
      </c>
      <c r="Y213">
        <f>IF(X213="","",IF(X213&gt;Stats!$B$15,"Outlier",""))</f>
        <v/>
      </c>
      <c r="Z213" t="str">
        <f>P213&amp;" vs "&amp;Q213</f>
        <v>Pune Warriors vs Rajasthan Royals</v>
      </c>
    </row>
    <row r="214" spans="1:26" x14ac:dyDescent="0.25">
      <c r="A214">
        <v>272</v>
      </c>
      <c r="B214">
        <v>2011</v>
      </c>
      <c r="C214" s="5">
        <v>40664</v>
      </c>
      <c r="D214" t="s">
        <v>172</v>
      </c>
      <c r="E214" t="s">
        <v>12</v>
      </c>
      <c r="F214" t="s">
        <v>16</v>
      </c>
      <c r="G214" t="s">
        <v>12</v>
      </c>
      <c r="H214" t="s">
        <v>176</v>
      </c>
      <c r="I214" t="s">
        <v>174</v>
      </c>
      <c r="J214">
        <v>0</v>
      </c>
      <c r="K214" t="s">
        <v>12</v>
      </c>
      <c r="L214">
        <v>19</v>
      </c>
      <c r="M214">
        <v>0</v>
      </c>
      <c r="N214" t="s">
        <v>211</v>
      </c>
      <c r="O214" t="s">
        <v>94</v>
      </c>
      <c r="P214" t="str">
        <f>INDEX(Teams!$B:$B,MATCH(E214,Teams!$A:$A,0))</f>
        <v>Chennai Super Kings</v>
      </c>
      <c r="Q214" t="str">
        <f>INDEX(Teams!$B:$B,MATCH(F214,Teams!$A:$A,0))</f>
        <v>Deccan Chargers</v>
      </c>
      <c r="R214" t="str">
        <f>INDEX(Teams!$B:$B,MATCH(G214,Teams!$A:$A,0))</f>
        <v>Chennai Super Kings</v>
      </c>
      <c r="S214" t="str">
        <f>IF(K214="","No result",INDEX(Teams!$B:$B,MATCH(K214,Teams!$A:$A,0)))</f>
        <v>Chennai Super Kings</v>
      </c>
      <c r="T214" t="str">
        <f>INDEX(Venues!$B:$B,MATCH(O214,Venues!$A:$A,0))</f>
        <v>MA Chidambaram Stadium</v>
      </c>
      <c r="U214" t="str">
        <f>INDEX(Venues!$C:$C,MATCH(O214,Venues!$A:$A,0))</f>
        <v>Chennai</v>
      </c>
      <c r="V214" t="str">
        <f>IF(L214&gt;0,L214&amp;" runs",IF(M214&gt;0,M214&amp;" wickets","-"))</f>
        <v>19 runs</v>
      </c>
      <c r="W214">
        <f>IF(G214=K214,1,0)</f>
        <v>1</v>
      </c>
      <c r="X214">
        <f>IF(L214&gt;0,L214,"")</f>
        <v>19</v>
      </c>
      <c r="Y214">
        <f>IF(X214="","",IF(X214&gt;Stats!$B$15,"Outlier",""))</f>
        <v/>
      </c>
      <c r="Z214" t="str">
        <f>P214&amp;" vs "&amp;Q214</f>
        <v>Chennai Super Kings vs Deccan Chargers</v>
      </c>
    </row>
    <row r="215" spans="1:26" x14ac:dyDescent="0.25">
      <c r="A215">
        <v>273</v>
      </c>
      <c r="B215">
        <v>2011</v>
      </c>
      <c r="C215" s="5">
        <v>40665</v>
      </c>
      <c r="D215" t="s">
        <v>172</v>
      </c>
      <c r="E215" t="s">
        <v>35</v>
      </c>
      <c r="F215" t="s">
        <v>26</v>
      </c>
      <c r="G215" t="s">
        <v>26</v>
      </c>
      <c r="H215" t="s">
        <v>173</v>
      </c>
      <c r="I215" t="s">
        <v>174</v>
      </c>
      <c r="J215">
        <v>0</v>
      </c>
      <c r="K215" t="s">
        <v>35</v>
      </c>
      <c r="L215">
        <v>23</v>
      </c>
      <c r="M215">
        <v>0</v>
      </c>
      <c r="N215" t="s">
        <v>268</v>
      </c>
      <c r="O215" t="s">
        <v>138</v>
      </c>
      <c r="P215" t="str">
        <f>INDEX(Teams!$B:$B,MATCH(E215,Teams!$A:$A,0))</f>
        <v>Mumbai Indians</v>
      </c>
      <c r="Q215" t="str">
        <f>INDEX(Teams!$B:$B,MATCH(F215,Teams!$A:$A,0))</f>
        <v>Kings XI Punjab</v>
      </c>
      <c r="R215" t="str">
        <f>INDEX(Teams!$B:$B,MATCH(G215,Teams!$A:$A,0))</f>
        <v>Kings XI Punjab</v>
      </c>
      <c r="S215" t="str">
        <f>IF(K215="","No result",INDEX(Teams!$B:$B,MATCH(K215,Teams!$A:$A,0)))</f>
        <v>Mumbai Indians</v>
      </c>
      <c r="T215" t="str">
        <f>INDEX(Venues!$B:$B,MATCH(O215,Venues!$A:$A,0))</f>
        <v>Wankhede Stadium</v>
      </c>
      <c r="U215" t="str">
        <f>INDEX(Venues!$C:$C,MATCH(O215,Venues!$A:$A,0))</f>
        <v>Mumbai</v>
      </c>
      <c r="V215" t="str">
        <f>IF(L215&gt;0,L215&amp;" runs",IF(M215&gt;0,M215&amp;" wickets","-"))</f>
        <v>23 runs</v>
      </c>
      <c r="W215">
        <f>IF(G215=K215,1,0)</f>
        <v>0</v>
      </c>
      <c r="X215">
        <f>IF(L215&gt;0,L215,"")</f>
        <v>23</v>
      </c>
      <c r="Y215">
        <f>IF(X215="","",IF(X215&gt;Stats!$B$15,"Outlier",""))</f>
        <v/>
      </c>
      <c r="Z215" t="str">
        <f>P215&amp;" vs "&amp;Q215</f>
        <v>Mumbai Indians vs Kings XI Punjab</v>
      </c>
    </row>
    <row r="216" spans="1:26" x14ac:dyDescent="0.25">
      <c r="A216">
        <v>274</v>
      </c>
      <c r="B216">
        <v>2011</v>
      </c>
      <c r="C216" s="5">
        <v>40665</v>
      </c>
      <c r="D216" t="s">
        <v>172</v>
      </c>
      <c r="E216" t="s">
        <v>20</v>
      </c>
      <c r="F216" t="s">
        <v>29</v>
      </c>
      <c r="G216" t="s">
        <v>29</v>
      </c>
      <c r="H216" t="s">
        <v>173</v>
      </c>
      <c r="I216" t="s">
        <v>174</v>
      </c>
      <c r="J216">
        <v>0</v>
      </c>
      <c r="K216" t="s">
        <v>29</v>
      </c>
      <c r="L216">
        <v>0</v>
      </c>
      <c r="M216">
        <v>7</v>
      </c>
      <c r="N216" t="s">
        <v>286</v>
      </c>
      <c r="O216" t="s">
        <v>75</v>
      </c>
      <c r="P216" t="str">
        <f>INDEX(Teams!$B:$B,MATCH(E216,Teams!$A:$A,0))</f>
        <v>Delhi Capitals</v>
      </c>
      <c r="Q216" t="str">
        <f>INDEX(Teams!$B:$B,MATCH(F216,Teams!$A:$A,0))</f>
        <v>Kochi Tuskers Kerala</v>
      </c>
      <c r="R216" t="str">
        <f>INDEX(Teams!$B:$B,MATCH(G216,Teams!$A:$A,0))</f>
        <v>Kochi Tuskers Kerala</v>
      </c>
      <c r="S216" t="str">
        <f>IF(K216="","No result",INDEX(Teams!$B:$B,MATCH(K216,Teams!$A:$A,0)))</f>
        <v>Kochi Tuskers Kerala</v>
      </c>
      <c r="T216" t="str">
        <f>INDEX(Venues!$B:$B,MATCH(O216,Venues!$A:$A,0))</f>
        <v>Feroz Shah Kotla</v>
      </c>
      <c r="U216" t="str">
        <f>INDEX(Venues!$C:$C,MATCH(O216,Venues!$A:$A,0))</f>
        <v>Delhi</v>
      </c>
      <c r="V216" t="str">
        <f>IF(L216&gt;0,L216&amp;" runs",IF(M216&gt;0,M216&amp;" wickets","-"))</f>
        <v>7 wickets</v>
      </c>
      <c r="W216">
        <f>IF(G216=K216,1,0)</f>
        <v>1</v>
      </c>
      <c r="X216">
        <f>IF(L216&gt;0,L216,"")</f>
        <v/>
      </c>
      <c r="Y216">
        <f>IF(X216="","",IF(X216&gt;Stats!$B$15,"Outlier",""))</f>
        <v/>
      </c>
      <c r="Z216" t="str">
        <f>P216&amp;" vs "&amp;Q216</f>
        <v>Delhi Capitals vs Kochi Tuskers Kerala</v>
      </c>
    </row>
    <row r="217" spans="1:26" x14ac:dyDescent="0.25">
      <c r="A217">
        <v>275</v>
      </c>
      <c r="B217">
        <v>2011</v>
      </c>
      <c r="C217" s="5">
        <v>40666</v>
      </c>
      <c r="D217" t="s">
        <v>172</v>
      </c>
      <c r="E217" t="s">
        <v>32</v>
      </c>
      <c r="F217" t="s">
        <v>16</v>
      </c>
      <c r="G217" t="s">
        <v>16</v>
      </c>
      <c r="H217" t="s">
        <v>173</v>
      </c>
      <c r="I217" t="s">
        <v>174</v>
      </c>
      <c r="J217">
        <v>0</v>
      </c>
      <c r="K217" t="s">
        <v>32</v>
      </c>
      <c r="L217">
        <v>20</v>
      </c>
      <c r="M217">
        <v>0</v>
      </c>
      <c r="N217" t="s">
        <v>184</v>
      </c>
      <c r="O217" t="s">
        <v>111</v>
      </c>
      <c r="P217" t="str">
        <f>INDEX(Teams!$B:$B,MATCH(E217,Teams!$A:$A,0))</f>
        <v>Kolkata Knight Riders</v>
      </c>
      <c r="Q217" t="str">
        <f>INDEX(Teams!$B:$B,MATCH(F217,Teams!$A:$A,0))</f>
        <v>Deccan Chargers</v>
      </c>
      <c r="R217" t="str">
        <f>INDEX(Teams!$B:$B,MATCH(G217,Teams!$A:$A,0))</f>
        <v>Deccan Chargers</v>
      </c>
      <c r="S217" t="str">
        <f>IF(K217="","No result",INDEX(Teams!$B:$B,MATCH(K217,Teams!$A:$A,0)))</f>
        <v>Kolkata Knight Riders</v>
      </c>
      <c r="T217" t="str">
        <f>INDEX(Venues!$B:$B,MATCH(O217,Venues!$A:$A,0))</f>
        <v>Rajiv Gandhi International Stadium</v>
      </c>
      <c r="U217" t="str">
        <f>INDEX(Venues!$C:$C,MATCH(O217,Venues!$A:$A,0))</f>
        <v>Hyderabad</v>
      </c>
      <c r="V217" t="str">
        <f>IF(L217&gt;0,L217&amp;" runs",IF(M217&gt;0,M217&amp;" wickets","-"))</f>
        <v>20 runs</v>
      </c>
      <c r="W217">
        <f>IF(G217=K217,1,0)</f>
        <v>0</v>
      </c>
      <c r="X217">
        <f>IF(L217&gt;0,L217,"")</f>
        <v>20</v>
      </c>
      <c r="Y217">
        <f>IF(X217="","",IF(X217&gt;Stats!$B$15,"Outlier",""))</f>
        <v/>
      </c>
      <c r="Z217" t="str">
        <f>P217&amp;" vs "&amp;Q217</f>
        <v>Kolkata Knight Riders vs Deccan Chargers</v>
      </c>
    </row>
    <row r="218" spans="1:26" x14ac:dyDescent="0.25">
      <c r="A218">
        <v>276</v>
      </c>
      <c r="B218">
        <v>2011</v>
      </c>
      <c r="C218" s="5">
        <v>40667</v>
      </c>
      <c r="D218" t="s">
        <v>172</v>
      </c>
      <c r="E218" t="s">
        <v>41</v>
      </c>
      <c r="F218" t="s">
        <v>12</v>
      </c>
      <c r="G218" t="s">
        <v>41</v>
      </c>
      <c r="H218" t="s">
        <v>176</v>
      </c>
      <c r="I218" t="s">
        <v>174</v>
      </c>
      <c r="J218">
        <v>0</v>
      </c>
      <c r="K218" t="s">
        <v>12</v>
      </c>
      <c r="L218">
        <v>0</v>
      </c>
      <c r="M218">
        <v>8</v>
      </c>
      <c r="N218" t="s">
        <v>177</v>
      </c>
      <c r="O218" t="s">
        <v>94</v>
      </c>
      <c r="P218" t="str">
        <f>INDEX(Teams!$B:$B,MATCH(E218,Teams!$A:$A,0))</f>
        <v>Rajasthan Royals</v>
      </c>
      <c r="Q218" t="str">
        <f>INDEX(Teams!$B:$B,MATCH(F218,Teams!$A:$A,0))</f>
        <v>Chennai Super Kings</v>
      </c>
      <c r="R218" t="str">
        <f>INDEX(Teams!$B:$B,MATCH(G218,Teams!$A:$A,0))</f>
        <v>Rajasthan Royals</v>
      </c>
      <c r="S218" t="str">
        <f>IF(K218="","No result",INDEX(Teams!$B:$B,MATCH(K218,Teams!$A:$A,0)))</f>
        <v>Chennai Super Kings</v>
      </c>
      <c r="T218" t="str">
        <f>INDEX(Venues!$B:$B,MATCH(O218,Venues!$A:$A,0))</f>
        <v>MA Chidambaram Stadium</v>
      </c>
      <c r="U218" t="str">
        <f>INDEX(Venues!$C:$C,MATCH(O218,Venues!$A:$A,0))</f>
        <v>Chennai</v>
      </c>
      <c r="V218" t="str">
        <f>IF(L218&gt;0,L218&amp;" runs",IF(M218&gt;0,M218&amp;" wickets","-"))</f>
        <v>8 wickets</v>
      </c>
      <c r="W218">
        <f>IF(G218=K218,1,0)</f>
        <v>0</v>
      </c>
      <c r="X218">
        <f>IF(L218&gt;0,L218,"")</f>
        <v/>
      </c>
      <c r="Y218">
        <f>IF(X218="","",IF(X218&gt;Stats!$B$15,"Outlier",""))</f>
        <v/>
      </c>
      <c r="Z218" t="str">
        <f>P218&amp;" vs "&amp;Q218</f>
        <v>Rajasthan Royals vs Chennai Super Kings</v>
      </c>
    </row>
    <row r="219" spans="1:26" x14ac:dyDescent="0.25">
      <c r="A219">
        <v>277</v>
      </c>
      <c r="B219">
        <v>2011</v>
      </c>
      <c r="C219" s="5">
        <v>40667</v>
      </c>
      <c r="D219" t="s">
        <v>172</v>
      </c>
      <c r="E219" t="s">
        <v>35</v>
      </c>
      <c r="F219" t="s">
        <v>38</v>
      </c>
      <c r="G219" t="s">
        <v>38</v>
      </c>
      <c r="H219" t="s">
        <v>173</v>
      </c>
      <c r="I219" t="s">
        <v>174</v>
      </c>
      <c r="J219">
        <v>0</v>
      </c>
      <c r="K219" t="s">
        <v>35</v>
      </c>
      <c r="L219">
        <v>21</v>
      </c>
      <c r="M219">
        <v>0</v>
      </c>
      <c r="N219" t="s">
        <v>287</v>
      </c>
      <c r="O219" t="s">
        <v>65</v>
      </c>
      <c r="P219" t="str">
        <f>INDEX(Teams!$B:$B,MATCH(E219,Teams!$A:$A,0))</f>
        <v>Mumbai Indians</v>
      </c>
      <c r="Q219" t="str">
        <f>INDEX(Teams!$B:$B,MATCH(F219,Teams!$A:$A,0))</f>
        <v>Pune Warriors</v>
      </c>
      <c r="R219" t="str">
        <f>INDEX(Teams!$B:$B,MATCH(G219,Teams!$A:$A,0))</f>
        <v>Pune Warriors</v>
      </c>
      <c r="S219" t="str">
        <f>IF(K219="","No result",INDEX(Teams!$B:$B,MATCH(K219,Teams!$A:$A,0)))</f>
        <v>Mumbai Indians</v>
      </c>
      <c r="T219" t="str">
        <f>INDEX(Venues!$B:$B,MATCH(O219,Venues!$A:$A,0))</f>
        <v>Dr DY Patil Sports Academy</v>
      </c>
      <c r="U219" t="str">
        <f>INDEX(Venues!$C:$C,MATCH(O219,Venues!$A:$A,0))</f>
        <v>Mumbai</v>
      </c>
      <c r="V219" t="str">
        <f>IF(L219&gt;0,L219&amp;" runs",IF(M219&gt;0,M219&amp;" wickets","-"))</f>
        <v>21 runs</v>
      </c>
      <c r="W219">
        <f>IF(G219=K219,1,0)</f>
        <v>0</v>
      </c>
      <c r="X219">
        <f>IF(L219&gt;0,L219,"")</f>
        <v>21</v>
      </c>
      <c r="Y219">
        <f>IF(X219="","",IF(X219&gt;Stats!$B$15,"Outlier",""))</f>
        <v/>
      </c>
      <c r="Z219" t="str">
        <f>P219&amp;" vs "&amp;Q219</f>
        <v>Mumbai Indians vs Pune Warriors</v>
      </c>
    </row>
    <row r="220" spans="1:26" x14ac:dyDescent="0.25">
      <c r="A220">
        <v>278</v>
      </c>
      <c r="B220">
        <v>2011</v>
      </c>
      <c r="C220" s="5">
        <v>40668</v>
      </c>
      <c r="D220" t="s">
        <v>172</v>
      </c>
      <c r="E220" t="s">
        <v>29</v>
      </c>
      <c r="F220" t="s">
        <v>32</v>
      </c>
      <c r="G220" t="s">
        <v>32</v>
      </c>
      <c r="H220" t="s">
        <v>173</v>
      </c>
      <c r="I220" t="s">
        <v>174</v>
      </c>
      <c r="J220">
        <v>0</v>
      </c>
      <c r="K220" t="s">
        <v>29</v>
      </c>
      <c r="L220">
        <v>17</v>
      </c>
      <c r="M220">
        <v>0</v>
      </c>
      <c r="N220" t="s">
        <v>244</v>
      </c>
      <c r="O220" t="s">
        <v>98</v>
      </c>
      <c r="P220" t="str">
        <f>INDEX(Teams!$B:$B,MATCH(E220,Teams!$A:$A,0))</f>
        <v>Kochi Tuskers Kerala</v>
      </c>
      <c r="Q220" t="str">
        <f>INDEX(Teams!$B:$B,MATCH(F220,Teams!$A:$A,0))</f>
        <v>Kolkata Knight Riders</v>
      </c>
      <c r="R220" t="str">
        <f>INDEX(Teams!$B:$B,MATCH(G220,Teams!$A:$A,0))</f>
        <v>Kolkata Knight Riders</v>
      </c>
      <c r="S220" t="str">
        <f>IF(K220="","No result",INDEX(Teams!$B:$B,MATCH(K220,Teams!$A:$A,0)))</f>
        <v>Kochi Tuskers Kerala</v>
      </c>
      <c r="T220" t="str">
        <f>INDEX(Venues!$B:$B,MATCH(O220,Venues!$A:$A,0))</f>
        <v>Nehru Stadium</v>
      </c>
      <c r="U220" t="str">
        <f>INDEX(Venues!$C:$C,MATCH(O220,Venues!$A:$A,0))</f>
        <v>Kochi</v>
      </c>
      <c r="V220" t="str">
        <f>IF(L220&gt;0,L220&amp;" runs",IF(M220&gt;0,M220&amp;" wickets","-"))</f>
        <v>17 runs</v>
      </c>
      <c r="W220">
        <f>IF(G220=K220,1,0)</f>
        <v>0</v>
      </c>
      <c r="X220">
        <f>IF(L220&gt;0,L220,"")</f>
        <v>17</v>
      </c>
      <c r="Y220">
        <f>IF(X220="","",IF(X220&gt;Stats!$B$15,"Outlier",""))</f>
        <v/>
      </c>
      <c r="Z220" t="str">
        <f>P220&amp;" vs "&amp;Q220</f>
        <v>Kochi Tuskers Kerala vs Kolkata Knight Riders</v>
      </c>
    </row>
    <row r="221" spans="1:26" x14ac:dyDescent="0.25">
      <c r="A221">
        <v>279</v>
      </c>
      <c r="B221">
        <v>2011</v>
      </c>
      <c r="C221" s="5">
        <v>40668</v>
      </c>
      <c r="D221" t="s">
        <v>172</v>
      </c>
      <c r="E221" t="s">
        <v>16</v>
      </c>
      <c r="F221" t="s">
        <v>20</v>
      </c>
      <c r="G221" t="s">
        <v>20</v>
      </c>
      <c r="H221" t="s">
        <v>173</v>
      </c>
      <c r="I221" t="s">
        <v>174</v>
      </c>
      <c r="J221">
        <v>0</v>
      </c>
      <c r="K221" t="s">
        <v>20</v>
      </c>
      <c r="L221">
        <v>0</v>
      </c>
      <c r="M221">
        <v>4</v>
      </c>
      <c r="N221" t="s">
        <v>182</v>
      </c>
      <c r="O221" t="s">
        <v>111</v>
      </c>
      <c r="P221" t="str">
        <f>INDEX(Teams!$B:$B,MATCH(E221,Teams!$A:$A,0))</f>
        <v>Deccan Chargers</v>
      </c>
      <c r="Q221" t="str">
        <f>INDEX(Teams!$B:$B,MATCH(F221,Teams!$A:$A,0))</f>
        <v>Delhi Capitals</v>
      </c>
      <c r="R221" t="str">
        <f>INDEX(Teams!$B:$B,MATCH(G221,Teams!$A:$A,0))</f>
        <v>Delhi Capitals</v>
      </c>
      <c r="S221" t="str">
        <f>IF(K221="","No result",INDEX(Teams!$B:$B,MATCH(K221,Teams!$A:$A,0)))</f>
        <v>Delhi Capitals</v>
      </c>
      <c r="T221" t="str">
        <f>INDEX(Venues!$B:$B,MATCH(O221,Venues!$A:$A,0))</f>
        <v>Rajiv Gandhi International Stadium</v>
      </c>
      <c r="U221" t="str">
        <f>INDEX(Venues!$C:$C,MATCH(O221,Venues!$A:$A,0))</f>
        <v>Hyderabad</v>
      </c>
      <c r="V221" t="str">
        <f>IF(L221&gt;0,L221&amp;" runs",IF(M221&gt;0,M221&amp;" wickets","-"))</f>
        <v>4 wickets</v>
      </c>
      <c r="W221">
        <f>IF(G221=K221,1,0)</f>
        <v>1</v>
      </c>
      <c r="X221">
        <f>IF(L221&gt;0,L221,"")</f>
        <v/>
      </c>
      <c r="Y221">
        <f>IF(X221="","",IF(X221&gt;Stats!$B$15,"Outlier",""))</f>
        <v/>
      </c>
      <c r="Z221" t="str">
        <f>P221&amp;" vs "&amp;Q221</f>
        <v>Deccan Chargers vs Delhi Capitals</v>
      </c>
    </row>
    <row r="222" spans="1:26" x14ac:dyDescent="0.25">
      <c r="A222">
        <v>280</v>
      </c>
      <c r="B222">
        <v>2011</v>
      </c>
      <c r="C222" s="5">
        <v>40669</v>
      </c>
      <c r="D222" t="s">
        <v>172</v>
      </c>
      <c r="E222" t="s">
        <v>46</v>
      </c>
      <c r="F222" t="s">
        <v>26</v>
      </c>
      <c r="G222" t="s">
        <v>26</v>
      </c>
      <c r="H222" t="s">
        <v>173</v>
      </c>
      <c r="I222" t="s">
        <v>174</v>
      </c>
      <c r="J222">
        <v>0</v>
      </c>
      <c r="K222" t="s">
        <v>46</v>
      </c>
      <c r="L222">
        <v>85</v>
      </c>
      <c r="M222">
        <v>0</v>
      </c>
      <c r="N222" t="s">
        <v>222</v>
      </c>
      <c r="O222" t="s">
        <v>92</v>
      </c>
      <c r="P222" t="str">
        <f>INDEX(Teams!$B:$B,MATCH(E222,Teams!$A:$A,0))</f>
        <v>Royal Challengers Bangalore</v>
      </c>
      <c r="Q222" t="str">
        <f>INDEX(Teams!$B:$B,MATCH(F222,Teams!$A:$A,0))</f>
        <v>Kings XI Punjab</v>
      </c>
      <c r="R222" t="str">
        <f>INDEX(Teams!$B:$B,MATCH(G222,Teams!$A:$A,0))</f>
        <v>Kings XI Punjab</v>
      </c>
      <c r="S222" t="str">
        <f>IF(K222="","No result",INDEX(Teams!$B:$B,MATCH(K222,Teams!$A:$A,0)))</f>
        <v>Royal Challengers Bangalore</v>
      </c>
      <c r="T222" t="str">
        <f>INDEX(Venues!$B:$B,MATCH(O222,Venues!$A:$A,0))</f>
        <v>M Chinnaswamy Stadium</v>
      </c>
      <c r="U222" t="str">
        <f>INDEX(Venues!$C:$C,MATCH(O222,Venues!$A:$A,0))</f>
        <v>Bangalore</v>
      </c>
      <c r="V222" t="str">
        <f>IF(L222&gt;0,L222&amp;" runs",IF(M222&gt;0,M222&amp;" wickets","-"))</f>
        <v>85 runs</v>
      </c>
      <c r="W222">
        <f>IF(G222=K222,1,0)</f>
        <v>0</v>
      </c>
      <c r="X222">
        <f>IF(L222&gt;0,L222,"")</f>
        <v>85</v>
      </c>
      <c r="Y222" t="str">
        <f>IF(X222="","",IF(X222&gt;Stats!$B$15,"Outlier",""))</f>
        <v>Outlier</v>
      </c>
      <c r="Z222" t="str">
        <f>P222&amp;" vs "&amp;Q222</f>
        <v>Royal Challengers Bangalore vs Kings XI Punjab</v>
      </c>
    </row>
    <row r="223" spans="1:26" x14ac:dyDescent="0.25">
      <c r="A223">
        <v>281</v>
      </c>
      <c r="B223">
        <v>2011</v>
      </c>
      <c r="C223" s="5">
        <v>40670</v>
      </c>
      <c r="D223" t="s">
        <v>172</v>
      </c>
      <c r="E223" t="s">
        <v>12</v>
      </c>
      <c r="F223" t="s">
        <v>32</v>
      </c>
      <c r="G223" t="s">
        <v>12</v>
      </c>
      <c r="H223" t="s">
        <v>176</v>
      </c>
      <c r="I223" t="s">
        <v>174</v>
      </c>
      <c r="J223">
        <v>1</v>
      </c>
      <c r="K223" t="s">
        <v>32</v>
      </c>
      <c r="L223">
        <v>10</v>
      </c>
      <c r="M223">
        <v>0</v>
      </c>
      <c r="N223" t="s">
        <v>285</v>
      </c>
      <c r="O223" t="s">
        <v>73</v>
      </c>
      <c r="P223" t="str">
        <f>INDEX(Teams!$B:$B,MATCH(E223,Teams!$A:$A,0))</f>
        <v>Chennai Super Kings</v>
      </c>
      <c r="Q223" t="str">
        <f>INDEX(Teams!$B:$B,MATCH(F223,Teams!$A:$A,0))</f>
        <v>Kolkata Knight Riders</v>
      </c>
      <c r="R223" t="str">
        <f>INDEX(Teams!$B:$B,MATCH(G223,Teams!$A:$A,0))</f>
        <v>Chennai Super Kings</v>
      </c>
      <c r="S223" t="str">
        <f>IF(K223="","No result",INDEX(Teams!$B:$B,MATCH(K223,Teams!$A:$A,0)))</f>
        <v>Kolkata Knight Riders</v>
      </c>
      <c r="T223" t="str">
        <f>INDEX(Venues!$B:$B,MATCH(O223,Venues!$A:$A,0))</f>
        <v>Eden Gardens</v>
      </c>
      <c r="U223" t="str">
        <f>INDEX(Venues!$C:$C,MATCH(O223,Venues!$A:$A,0))</f>
        <v>Kolkata</v>
      </c>
      <c r="V223" t="str">
        <f>IF(L223&gt;0,L223&amp;" runs",IF(M223&gt;0,M223&amp;" wickets","-"))</f>
        <v>10 runs</v>
      </c>
      <c r="W223">
        <f>IF(G223=K223,1,0)</f>
        <v>0</v>
      </c>
      <c r="X223">
        <f>IF(L223&gt;0,L223,"")</f>
        <v>10</v>
      </c>
      <c r="Y223">
        <f>IF(X223="","",IF(X223&gt;Stats!$B$15,"Outlier",""))</f>
        <v/>
      </c>
      <c r="Z223" t="str">
        <f>P223&amp;" vs "&amp;Q223</f>
        <v>Chennai Super Kings vs Kolkata Knight Riders</v>
      </c>
    </row>
    <row r="224" spans="1:26" x14ac:dyDescent="0.25">
      <c r="A224">
        <v>282</v>
      </c>
      <c r="B224">
        <v>2011</v>
      </c>
      <c r="C224" s="5">
        <v>40670</v>
      </c>
      <c r="D224" t="s">
        <v>172</v>
      </c>
      <c r="E224" t="s">
        <v>35</v>
      </c>
      <c r="F224" t="s">
        <v>20</v>
      </c>
      <c r="G224" t="s">
        <v>20</v>
      </c>
      <c r="H224" t="s">
        <v>173</v>
      </c>
      <c r="I224" t="s">
        <v>174</v>
      </c>
      <c r="J224">
        <v>0</v>
      </c>
      <c r="K224" t="s">
        <v>35</v>
      </c>
      <c r="L224">
        <v>32</v>
      </c>
      <c r="M224">
        <v>0</v>
      </c>
      <c r="N224" t="s">
        <v>261</v>
      </c>
      <c r="O224" t="s">
        <v>138</v>
      </c>
      <c r="P224" t="str">
        <f>INDEX(Teams!$B:$B,MATCH(E224,Teams!$A:$A,0))</f>
        <v>Mumbai Indians</v>
      </c>
      <c r="Q224" t="str">
        <f>INDEX(Teams!$B:$B,MATCH(F224,Teams!$A:$A,0))</f>
        <v>Delhi Capitals</v>
      </c>
      <c r="R224" t="str">
        <f>INDEX(Teams!$B:$B,MATCH(G224,Teams!$A:$A,0))</f>
        <v>Delhi Capitals</v>
      </c>
      <c r="S224" t="str">
        <f>IF(K224="","No result",INDEX(Teams!$B:$B,MATCH(K224,Teams!$A:$A,0)))</f>
        <v>Mumbai Indians</v>
      </c>
      <c r="T224" t="str">
        <f>INDEX(Venues!$B:$B,MATCH(O224,Venues!$A:$A,0))</f>
        <v>Wankhede Stadium</v>
      </c>
      <c r="U224" t="str">
        <f>INDEX(Venues!$C:$C,MATCH(O224,Venues!$A:$A,0))</f>
        <v>Mumbai</v>
      </c>
      <c r="V224" t="str">
        <f>IF(L224&gt;0,L224&amp;" runs",IF(M224&gt;0,M224&amp;" wickets","-"))</f>
        <v>32 runs</v>
      </c>
      <c r="W224">
        <f>IF(G224=K224,1,0)</f>
        <v>0</v>
      </c>
      <c r="X224">
        <f>IF(L224&gt;0,L224,"")</f>
        <v>32</v>
      </c>
      <c r="Y224">
        <f>IF(X224="","",IF(X224&gt;Stats!$B$15,"Outlier",""))</f>
        <v/>
      </c>
      <c r="Z224" t="str">
        <f>P224&amp;" vs "&amp;Q224</f>
        <v>Mumbai Indians vs Delhi Capitals</v>
      </c>
    </row>
    <row r="225" spans="1:26" x14ac:dyDescent="0.25">
      <c r="A225">
        <v>283</v>
      </c>
      <c r="B225">
        <v>2011</v>
      </c>
      <c r="C225" s="5">
        <v>40671</v>
      </c>
      <c r="D225" t="s">
        <v>172</v>
      </c>
      <c r="E225" t="s">
        <v>29</v>
      </c>
      <c r="F225" t="s">
        <v>46</v>
      </c>
      <c r="G225" t="s">
        <v>29</v>
      </c>
      <c r="H225" t="s">
        <v>176</v>
      </c>
      <c r="I225" t="s">
        <v>174</v>
      </c>
      <c r="J225">
        <v>0</v>
      </c>
      <c r="K225" t="s">
        <v>46</v>
      </c>
      <c r="L225">
        <v>0</v>
      </c>
      <c r="M225">
        <v>9</v>
      </c>
      <c r="N225" t="s">
        <v>222</v>
      </c>
      <c r="O225" t="s">
        <v>92</v>
      </c>
      <c r="P225" t="str">
        <f>INDEX(Teams!$B:$B,MATCH(E225,Teams!$A:$A,0))</f>
        <v>Kochi Tuskers Kerala</v>
      </c>
      <c r="Q225" t="str">
        <f>INDEX(Teams!$B:$B,MATCH(F225,Teams!$A:$A,0))</f>
        <v>Royal Challengers Bangalore</v>
      </c>
      <c r="R225" t="str">
        <f>INDEX(Teams!$B:$B,MATCH(G225,Teams!$A:$A,0))</f>
        <v>Kochi Tuskers Kerala</v>
      </c>
      <c r="S225" t="str">
        <f>IF(K225="","No result",INDEX(Teams!$B:$B,MATCH(K225,Teams!$A:$A,0)))</f>
        <v>Royal Challengers Bangalore</v>
      </c>
      <c r="T225" t="str">
        <f>INDEX(Venues!$B:$B,MATCH(O225,Venues!$A:$A,0))</f>
        <v>M Chinnaswamy Stadium</v>
      </c>
      <c r="U225" t="str">
        <f>INDEX(Venues!$C:$C,MATCH(O225,Venues!$A:$A,0))</f>
        <v>Bangalore</v>
      </c>
      <c r="V225" t="str">
        <f>IF(L225&gt;0,L225&amp;" runs",IF(M225&gt;0,M225&amp;" wickets","-"))</f>
        <v>9 wickets</v>
      </c>
      <c r="W225">
        <f>IF(G225=K225,1,0)</f>
        <v>0</v>
      </c>
      <c r="X225">
        <f>IF(L225&gt;0,L225,"")</f>
        <v/>
      </c>
      <c r="Y225">
        <f>IF(X225="","",IF(X225&gt;Stats!$B$15,"Outlier",""))</f>
        <v/>
      </c>
      <c r="Z225" t="str">
        <f>P225&amp;" vs "&amp;Q225</f>
        <v>Kochi Tuskers Kerala vs Royal Challengers Bangalore</v>
      </c>
    </row>
    <row r="226" spans="1:26" x14ac:dyDescent="0.25">
      <c r="A226">
        <v>284</v>
      </c>
      <c r="B226">
        <v>2011</v>
      </c>
      <c r="C226" s="5">
        <v>40671</v>
      </c>
      <c r="D226" t="s">
        <v>172</v>
      </c>
      <c r="E226" t="s">
        <v>26</v>
      </c>
      <c r="F226" t="s">
        <v>38</v>
      </c>
      <c r="G226" t="s">
        <v>26</v>
      </c>
      <c r="H226" t="s">
        <v>176</v>
      </c>
      <c r="I226" t="s">
        <v>174</v>
      </c>
      <c r="J226">
        <v>0</v>
      </c>
      <c r="K226" t="s">
        <v>38</v>
      </c>
      <c r="L226">
        <v>0</v>
      </c>
      <c r="M226">
        <v>5</v>
      </c>
      <c r="N226" t="s">
        <v>287</v>
      </c>
      <c r="O226" t="s">
        <v>109</v>
      </c>
      <c r="P226" t="str">
        <f>INDEX(Teams!$B:$B,MATCH(E226,Teams!$A:$A,0))</f>
        <v>Kings XI Punjab</v>
      </c>
      <c r="Q226" t="str">
        <f>INDEX(Teams!$B:$B,MATCH(F226,Teams!$A:$A,0))</f>
        <v>Pune Warriors</v>
      </c>
      <c r="R226" t="str">
        <f>INDEX(Teams!$B:$B,MATCH(G226,Teams!$A:$A,0))</f>
        <v>Kings XI Punjab</v>
      </c>
      <c r="S226" t="str">
        <f>IF(K226="","No result",INDEX(Teams!$B:$B,MATCH(K226,Teams!$A:$A,0)))</f>
        <v>Pune Warriors</v>
      </c>
      <c r="T226" t="str">
        <f>INDEX(Venues!$B:$B,MATCH(O226,Venues!$A:$A,0))</f>
        <v>Punjab Cricket Association IS Bindra Stadium</v>
      </c>
      <c r="U226" t="str">
        <f>INDEX(Venues!$C:$C,MATCH(O226,Venues!$A:$A,0))</f>
        <v>Chandigarh</v>
      </c>
      <c r="V226" t="str">
        <f>IF(L226&gt;0,L226&amp;" runs",IF(M226&gt;0,M226&amp;" wickets","-"))</f>
        <v>5 wickets</v>
      </c>
      <c r="W226">
        <f>IF(G226=K226,1,0)</f>
        <v>0</v>
      </c>
      <c r="X226">
        <f>IF(L226&gt;0,L226,"")</f>
        <v/>
      </c>
      <c r="Y226">
        <f>IF(X226="","",IF(X226&gt;Stats!$B$15,"Outlier",""))</f>
        <v/>
      </c>
      <c r="Z226" t="str">
        <f>P226&amp;" vs "&amp;Q226</f>
        <v>Kings XI Punjab vs Pune Warriors</v>
      </c>
    </row>
    <row r="227" spans="1:26" x14ac:dyDescent="0.25">
      <c r="A227">
        <v>285</v>
      </c>
      <c r="B227">
        <v>2011</v>
      </c>
      <c r="C227" s="5">
        <v>40672</v>
      </c>
      <c r="D227" t="s">
        <v>172</v>
      </c>
      <c r="E227" t="s">
        <v>12</v>
      </c>
      <c r="F227" t="s">
        <v>41</v>
      </c>
      <c r="G227" t="s">
        <v>41</v>
      </c>
      <c r="H227" t="s">
        <v>173</v>
      </c>
      <c r="I227" t="s">
        <v>174</v>
      </c>
      <c r="J227">
        <v>0</v>
      </c>
      <c r="K227" t="s">
        <v>12</v>
      </c>
      <c r="L227">
        <v>63</v>
      </c>
      <c r="M227">
        <v>0</v>
      </c>
      <c r="N227" t="s">
        <v>259</v>
      </c>
      <c r="O227" t="s">
        <v>118</v>
      </c>
      <c r="P227" t="str">
        <f>INDEX(Teams!$B:$B,MATCH(E227,Teams!$A:$A,0))</f>
        <v>Chennai Super Kings</v>
      </c>
      <c r="Q227" t="str">
        <f>INDEX(Teams!$B:$B,MATCH(F227,Teams!$A:$A,0))</f>
        <v>Rajasthan Royals</v>
      </c>
      <c r="R227" t="str">
        <f>INDEX(Teams!$B:$B,MATCH(G227,Teams!$A:$A,0))</f>
        <v>Rajasthan Royals</v>
      </c>
      <c r="S227" t="str">
        <f>IF(K227="","No result",INDEX(Teams!$B:$B,MATCH(K227,Teams!$A:$A,0)))</f>
        <v>Chennai Super Kings</v>
      </c>
      <c r="T227" t="str">
        <f>INDEX(Venues!$B:$B,MATCH(O227,Venues!$A:$A,0))</f>
        <v>Sawai Mansingh Stadium</v>
      </c>
      <c r="U227" t="str">
        <f>INDEX(Venues!$C:$C,MATCH(O227,Venues!$A:$A,0))</f>
        <v>Jaipur</v>
      </c>
      <c r="V227" t="str">
        <f>IF(L227&gt;0,L227&amp;" runs",IF(M227&gt;0,M227&amp;" wickets","-"))</f>
        <v>63 runs</v>
      </c>
      <c r="W227">
        <f>IF(G227=K227,1,0)</f>
        <v>0</v>
      </c>
      <c r="X227">
        <f>IF(L227&gt;0,L227,"")</f>
        <v>63</v>
      </c>
      <c r="Y227">
        <f>IF(X227="","",IF(X227&gt;Stats!$B$15,"Outlier",""))</f>
        <v/>
      </c>
      <c r="Z227" t="str">
        <f>P227&amp;" vs "&amp;Q227</f>
        <v>Chennai Super Kings vs Rajasthan Royals</v>
      </c>
    </row>
    <row r="228" spans="1:26" x14ac:dyDescent="0.25">
      <c r="A228">
        <v>286</v>
      </c>
      <c r="B228">
        <v>2011</v>
      </c>
      <c r="C228" s="5">
        <v>40673</v>
      </c>
      <c r="D228" t="s">
        <v>172</v>
      </c>
      <c r="E228" t="s">
        <v>16</v>
      </c>
      <c r="F228" t="s">
        <v>38</v>
      </c>
      <c r="G228" t="s">
        <v>16</v>
      </c>
      <c r="H228" t="s">
        <v>176</v>
      </c>
      <c r="I228" t="s">
        <v>174</v>
      </c>
      <c r="J228">
        <v>0</v>
      </c>
      <c r="K228" t="s">
        <v>38</v>
      </c>
      <c r="L228">
        <v>0</v>
      </c>
      <c r="M228">
        <v>6</v>
      </c>
      <c r="N228" t="s">
        <v>288</v>
      </c>
      <c r="O228" t="s">
        <v>111</v>
      </c>
      <c r="P228" t="str">
        <f>INDEX(Teams!$B:$B,MATCH(E228,Teams!$A:$A,0))</f>
        <v>Deccan Chargers</v>
      </c>
      <c r="Q228" t="str">
        <f>INDEX(Teams!$B:$B,MATCH(F228,Teams!$A:$A,0))</f>
        <v>Pune Warriors</v>
      </c>
      <c r="R228" t="str">
        <f>INDEX(Teams!$B:$B,MATCH(G228,Teams!$A:$A,0))</f>
        <v>Deccan Chargers</v>
      </c>
      <c r="S228" t="str">
        <f>IF(K228="","No result",INDEX(Teams!$B:$B,MATCH(K228,Teams!$A:$A,0)))</f>
        <v>Pune Warriors</v>
      </c>
      <c r="T228" t="str">
        <f>INDEX(Venues!$B:$B,MATCH(O228,Venues!$A:$A,0))</f>
        <v>Rajiv Gandhi International Stadium</v>
      </c>
      <c r="U228" t="str">
        <f>INDEX(Venues!$C:$C,MATCH(O228,Venues!$A:$A,0))</f>
        <v>Hyderabad</v>
      </c>
      <c r="V228" t="str">
        <f>IF(L228&gt;0,L228&amp;" runs",IF(M228&gt;0,M228&amp;" wickets","-"))</f>
        <v>6 wickets</v>
      </c>
      <c r="W228">
        <f>IF(G228=K228,1,0)</f>
        <v>0</v>
      </c>
      <c r="X228">
        <f>IF(L228&gt;0,L228,"")</f>
        <v/>
      </c>
      <c r="Y228">
        <f>IF(X228="","",IF(X228&gt;Stats!$B$15,"Outlier",""))</f>
        <v/>
      </c>
      <c r="Z228" t="str">
        <f>P228&amp;" vs "&amp;Q228</f>
        <v>Deccan Chargers vs Pune Warriors</v>
      </c>
    </row>
    <row r="229" spans="1:26" x14ac:dyDescent="0.25">
      <c r="A229">
        <v>287</v>
      </c>
      <c r="B229">
        <v>2011</v>
      </c>
      <c r="C229" s="5">
        <v>40673</v>
      </c>
      <c r="D229" t="s">
        <v>172</v>
      </c>
      <c r="E229" t="s">
        <v>26</v>
      </c>
      <c r="F229" t="s">
        <v>35</v>
      </c>
      <c r="G229" t="s">
        <v>35</v>
      </c>
      <c r="H229" t="s">
        <v>173</v>
      </c>
      <c r="I229" t="s">
        <v>174</v>
      </c>
      <c r="J229">
        <v>0</v>
      </c>
      <c r="K229" t="s">
        <v>26</v>
      </c>
      <c r="L229">
        <v>76</v>
      </c>
      <c r="M229">
        <v>0</v>
      </c>
      <c r="N229" t="s">
        <v>289</v>
      </c>
      <c r="O229" t="s">
        <v>109</v>
      </c>
      <c r="P229" t="str">
        <f>INDEX(Teams!$B:$B,MATCH(E229,Teams!$A:$A,0))</f>
        <v>Kings XI Punjab</v>
      </c>
      <c r="Q229" t="str">
        <f>INDEX(Teams!$B:$B,MATCH(F229,Teams!$A:$A,0))</f>
        <v>Mumbai Indians</v>
      </c>
      <c r="R229" t="str">
        <f>INDEX(Teams!$B:$B,MATCH(G229,Teams!$A:$A,0))</f>
        <v>Mumbai Indians</v>
      </c>
      <c r="S229" t="str">
        <f>IF(K229="","No result",INDEX(Teams!$B:$B,MATCH(K229,Teams!$A:$A,0)))</f>
        <v>Kings XI Punjab</v>
      </c>
      <c r="T229" t="str">
        <f>INDEX(Venues!$B:$B,MATCH(O229,Venues!$A:$A,0))</f>
        <v>Punjab Cricket Association IS Bindra Stadium</v>
      </c>
      <c r="U229" t="str">
        <f>INDEX(Venues!$C:$C,MATCH(O229,Venues!$A:$A,0))</f>
        <v>Chandigarh</v>
      </c>
      <c r="V229" t="str">
        <f>IF(L229&gt;0,L229&amp;" runs",IF(M229&gt;0,M229&amp;" wickets","-"))</f>
        <v>76 runs</v>
      </c>
      <c r="W229">
        <f>IF(G229=K229,1,0)</f>
        <v>0</v>
      </c>
      <c r="X229">
        <f>IF(L229&gt;0,L229,"")</f>
        <v>76</v>
      </c>
      <c r="Y229">
        <f>IF(X229="","",IF(X229&gt;Stats!$B$15,"Outlier",""))</f>
        <v/>
      </c>
      <c r="Z229" t="str">
        <f>P229&amp;" vs "&amp;Q229</f>
        <v>Kings XI Punjab vs Mumbai Indians</v>
      </c>
    </row>
    <row r="230" spans="1:26" x14ac:dyDescent="0.25">
      <c r="A230">
        <v>288</v>
      </c>
      <c r="B230">
        <v>2011</v>
      </c>
      <c r="C230" s="5">
        <v>40674</v>
      </c>
      <c r="D230" t="s">
        <v>172</v>
      </c>
      <c r="E230" t="s">
        <v>41</v>
      </c>
      <c r="F230" t="s">
        <v>46</v>
      </c>
      <c r="G230" t="s">
        <v>46</v>
      </c>
      <c r="H230" t="s">
        <v>173</v>
      </c>
      <c r="I230" t="s">
        <v>174</v>
      </c>
      <c r="J230">
        <v>0</v>
      </c>
      <c r="K230" t="s">
        <v>46</v>
      </c>
      <c r="L230">
        <v>0</v>
      </c>
      <c r="M230">
        <v>9</v>
      </c>
      <c r="N230" t="s">
        <v>290</v>
      </c>
      <c r="O230" t="s">
        <v>118</v>
      </c>
      <c r="P230" t="str">
        <f>INDEX(Teams!$B:$B,MATCH(E230,Teams!$A:$A,0))</f>
        <v>Rajasthan Royals</v>
      </c>
      <c r="Q230" t="str">
        <f>INDEX(Teams!$B:$B,MATCH(F230,Teams!$A:$A,0))</f>
        <v>Royal Challengers Bangalore</v>
      </c>
      <c r="R230" t="str">
        <f>INDEX(Teams!$B:$B,MATCH(G230,Teams!$A:$A,0))</f>
        <v>Royal Challengers Bangalore</v>
      </c>
      <c r="S230" t="str">
        <f>IF(K230="","No result",INDEX(Teams!$B:$B,MATCH(K230,Teams!$A:$A,0)))</f>
        <v>Royal Challengers Bangalore</v>
      </c>
      <c r="T230" t="str">
        <f>INDEX(Venues!$B:$B,MATCH(O230,Venues!$A:$A,0))</f>
        <v>Sawai Mansingh Stadium</v>
      </c>
      <c r="U230" t="str">
        <f>INDEX(Venues!$C:$C,MATCH(O230,Venues!$A:$A,0))</f>
        <v>Jaipur</v>
      </c>
      <c r="V230" t="str">
        <f>IF(L230&gt;0,L230&amp;" runs",IF(M230&gt;0,M230&amp;" wickets","-"))</f>
        <v>9 wickets</v>
      </c>
      <c r="W230">
        <f>IF(G230=K230,1,0)</f>
        <v>1</v>
      </c>
      <c r="X230">
        <f>IF(L230&gt;0,L230,"")</f>
        <v/>
      </c>
      <c r="Y230">
        <f>IF(X230="","",IF(X230&gt;Stats!$B$15,"Outlier",""))</f>
        <v/>
      </c>
      <c r="Z230" t="str">
        <f>P230&amp;" vs "&amp;Q230</f>
        <v>Rajasthan Royals vs Royal Challengers Bangalore</v>
      </c>
    </row>
    <row r="231" spans="1:26" x14ac:dyDescent="0.25">
      <c r="A231">
        <v>289</v>
      </c>
      <c r="B231">
        <v>2011</v>
      </c>
      <c r="C231" s="5">
        <v>40675</v>
      </c>
      <c r="D231" t="s">
        <v>172</v>
      </c>
      <c r="E231" t="s">
        <v>12</v>
      </c>
      <c r="F231" t="s">
        <v>20</v>
      </c>
      <c r="G231" t="s">
        <v>12</v>
      </c>
      <c r="H231" t="s">
        <v>176</v>
      </c>
      <c r="I231" t="s">
        <v>174</v>
      </c>
      <c r="J231">
        <v>0</v>
      </c>
      <c r="K231" t="s">
        <v>12</v>
      </c>
      <c r="L231">
        <v>18</v>
      </c>
      <c r="M231">
        <v>0</v>
      </c>
      <c r="N231" t="s">
        <v>189</v>
      </c>
      <c r="O231" t="s">
        <v>94</v>
      </c>
      <c r="P231" t="str">
        <f>INDEX(Teams!$B:$B,MATCH(E231,Teams!$A:$A,0))</f>
        <v>Chennai Super Kings</v>
      </c>
      <c r="Q231" t="str">
        <f>INDEX(Teams!$B:$B,MATCH(F231,Teams!$A:$A,0))</f>
        <v>Delhi Capitals</v>
      </c>
      <c r="R231" t="str">
        <f>INDEX(Teams!$B:$B,MATCH(G231,Teams!$A:$A,0))</f>
        <v>Chennai Super Kings</v>
      </c>
      <c r="S231" t="str">
        <f>IF(K231="","No result",INDEX(Teams!$B:$B,MATCH(K231,Teams!$A:$A,0)))</f>
        <v>Chennai Super Kings</v>
      </c>
      <c r="T231" t="str">
        <f>INDEX(Venues!$B:$B,MATCH(O231,Venues!$A:$A,0))</f>
        <v>MA Chidambaram Stadium</v>
      </c>
      <c r="U231" t="str">
        <f>INDEX(Venues!$C:$C,MATCH(O231,Venues!$A:$A,0))</f>
        <v>Chennai</v>
      </c>
      <c r="V231" t="str">
        <f>IF(L231&gt;0,L231&amp;" runs",IF(M231&gt;0,M231&amp;" wickets","-"))</f>
        <v>18 runs</v>
      </c>
      <c r="W231">
        <f>IF(G231=K231,1,0)</f>
        <v>1</v>
      </c>
      <c r="X231">
        <f>IF(L231&gt;0,L231,"")</f>
        <v>18</v>
      </c>
      <c r="Y231">
        <f>IF(X231="","",IF(X231&gt;Stats!$B$15,"Outlier",""))</f>
        <v/>
      </c>
      <c r="Z231" t="str">
        <f>P231&amp;" vs "&amp;Q231</f>
        <v>Chennai Super Kings vs Delhi Capitals</v>
      </c>
    </row>
    <row r="232" spans="1:26" x14ac:dyDescent="0.25">
      <c r="A232">
        <v>290</v>
      </c>
      <c r="B232">
        <v>2011</v>
      </c>
      <c r="C232" s="5">
        <v>40676</v>
      </c>
      <c r="D232" t="s">
        <v>172</v>
      </c>
      <c r="E232" t="s">
        <v>29</v>
      </c>
      <c r="F232" t="s">
        <v>26</v>
      </c>
      <c r="G232" t="s">
        <v>26</v>
      </c>
      <c r="H232" t="s">
        <v>173</v>
      </c>
      <c r="I232" t="s">
        <v>174</v>
      </c>
      <c r="J232">
        <v>0</v>
      </c>
      <c r="K232" t="s">
        <v>26</v>
      </c>
      <c r="L232">
        <v>0</v>
      </c>
      <c r="M232">
        <v>6</v>
      </c>
      <c r="N232" t="s">
        <v>210</v>
      </c>
      <c r="O232" t="s">
        <v>83</v>
      </c>
      <c r="P232" t="str">
        <f>INDEX(Teams!$B:$B,MATCH(E232,Teams!$A:$A,0))</f>
        <v>Kochi Tuskers Kerala</v>
      </c>
      <c r="Q232" t="str">
        <f>INDEX(Teams!$B:$B,MATCH(F232,Teams!$A:$A,0))</f>
        <v>Kings XI Punjab</v>
      </c>
      <c r="R232" t="str">
        <f>INDEX(Teams!$B:$B,MATCH(G232,Teams!$A:$A,0))</f>
        <v>Kings XI Punjab</v>
      </c>
      <c r="S232" t="str">
        <f>IF(K232="","No result",INDEX(Teams!$B:$B,MATCH(K232,Teams!$A:$A,0)))</f>
        <v>Kings XI Punjab</v>
      </c>
      <c r="T232" t="str">
        <f>INDEX(Venues!$B:$B,MATCH(O232,Venues!$A:$A,0))</f>
        <v>Holkar Cricket Stadium</v>
      </c>
      <c r="U232" t="str">
        <f>INDEX(Venues!$C:$C,MATCH(O232,Venues!$A:$A,0))</f>
        <v>Indore</v>
      </c>
      <c r="V232" t="str">
        <f>IF(L232&gt;0,L232&amp;" runs",IF(M232&gt;0,M232&amp;" wickets","-"))</f>
        <v>6 wickets</v>
      </c>
      <c r="W232">
        <f>IF(G232=K232,1,0)</f>
        <v>1</v>
      </c>
      <c r="X232">
        <f>IF(L232&gt;0,L232,"")</f>
        <v/>
      </c>
      <c r="Y232">
        <f>IF(X232="","",IF(X232&gt;Stats!$B$15,"Outlier",""))</f>
        <v/>
      </c>
      <c r="Z232" t="str">
        <f>P232&amp;" vs "&amp;Q232</f>
        <v>Kochi Tuskers Kerala vs Kings XI Punjab</v>
      </c>
    </row>
    <row r="233" spans="1:26" x14ac:dyDescent="0.25">
      <c r="A233">
        <v>291</v>
      </c>
      <c r="B233">
        <v>2011</v>
      </c>
      <c r="C233" s="5">
        <v>40677</v>
      </c>
      <c r="D233" t="s">
        <v>172</v>
      </c>
      <c r="E233" t="s">
        <v>32</v>
      </c>
      <c r="F233" t="s">
        <v>46</v>
      </c>
      <c r="G233" t="s">
        <v>46</v>
      </c>
      <c r="H233" t="s">
        <v>173</v>
      </c>
      <c r="I233" t="s">
        <v>174</v>
      </c>
      <c r="J233">
        <v>1</v>
      </c>
      <c r="K233" t="s">
        <v>46</v>
      </c>
      <c r="L233">
        <v>0</v>
      </c>
      <c r="M233">
        <v>4</v>
      </c>
      <c r="N233" t="s">
        <v>222</v>
      </c>
      <c r="O233" t="s">
        <v>92</v>
      </c>
      <c r="P233" t="str">
        <f>INDEX(Teams!$B:$B,MATCH(E233,Teams!$A:$A,0))</f>
        <v>Kolkata Knight Riders</v>
      </c>
      <c r="Q233" t="str">
        <f>INDEX(Teams!$B:$B,MATCH(F233,Teams!$A:$A,0))</f>
        <v>Royal Challengers Bangalore</v>
      </c>
      <c r="R233" t="str">
        <f>INDEX(Teams!$B:$B,MATCH(G233,Teams!$A:$A,0))</f>
        <v>Royal Challengers Bangalore</v>
      </c>
      <c r="S233" t="str">
        <f>IF(K233="","No result",INDEX(Teams!$B:$B,MATCH(K233,Teams!$A:$A,0)))</f>
        <v>Royal Challengers Bangalore</v>
      </c>
      <c r="T233" t="str">
        <f>INDEX(Venues!$B:$B,MATCH(O233,Venues!$A:$A,0))</f>
        <v>M Chinnaswamy Stadium</v>
      </c>
      <c r="U233" t="str">
        <f>INDEX(Venues!$C:$C,MATCH(O233,Venues!$A:$A,0))</f>
        <v>Bangalore</v>
      </c>
      <c r="V233" t="str">
        <f>IF(L233&gt;0,L233&amp;" runs",IF(M233&gt;0,M233&amp;" wickets","-"))</f>
        <v>4 wickets</v>
      </c>
      <c r="W233">
        <f>IF(G233=K233,1,0)</f>
        <v>1</v>
      </c>
      <c r="X233">
        <f>IF(L233&gt;0,L233,"")</f>
        <v/>
      </c>
      <c r="Y233">
        <f>IF(X233="","",IF(X233&gt;Stats!$B$15,"Outlier",""))</f>
        <v/>
      </c>
      <c r="Z233" t="str">
        <f>P233&amp;" vs "&amp;Q233</f>
        <v>Kolkata Knight Riders vs Royal Challengers Bangalore</v>
      </c>
    </row>
    <row r="234" spans="1:26" x14ac:dyDescent="0.25">
      <c r="A234">
        <v>292</v>
      </c>
      <c r="B234">
        <v>2011</v>
      </c>
      <c r="C234" s="5">
        <v>40677</v>
      </c>
      <c r="D234" t="s">
        <v>172</v>
      </c>
      <c r="E234" t="s">
        <v>16</v>
      </c>
      <c r="F234" t="s">
        <v>35</v>
      </c>
      <c r="G234" t="s">
        <v>16</v>
      </c>
      <c r="H234" t="s">
        <v>176</v>
      </c>
      <c r="I234" t="s">
        <v>174</v>
      </c>
      <c r="J234">
        <v>0</v>
      </c>
      <c r="K234" t="s">
        <v>16</v>
      </c>
      <c r="L234">
        <v>10</v>
      </c>
      <c r="M234">
        <v>0</v>
      </c>
      <c r="N234" t="s">
        <v>203</v>
      </c>
      <c r="O234" t="s">
        <v>138</v>
      </c>
      <c r="P234" t="str">
        <f>INDEX(Teams!$B:$B,MATCH(E234,Teams!$A:$A,0))</f>
        <v>Deccan Chargers</v>
      </c>
      <c r="Q234" t="str">
        <f>INDEX(Teams!$B:$B,MATCH(F234,Teams!$A:$A,0))</f>
        <v>Mumbai Indians</v>
      </c>
      <c r="R234" t="str">
        <f>INDEX(Teams!$B:$B,MATCH(G234,Teams!$A:$A,0))</f>
        <v>Deccan Chargers</v>
      </c>
      <c r="S234" t="str">
        <f>IF(K234="","No result",INDEX(Teams!$B:$B,MATCH(K234,Teams!$A:$A,0)))</f>
        <v>Deccan Chargers</v>
      </c>
      <c r="T234" t="str">
        <f>INDEX(Venues!$B:$B,MATCH(O234,Venues!$A:$A,0))</f>
        <v>Wankhede Stadium</v>
      </c>
      <c r="U234" t="str">
        <f>INDEX(Venues!$C:$C,MATCH(O234,Venues!$A:$A,0))</f>
        <v>Mumbai</v>
      </c>
      <c r="V234" t="str">
        <f>IF(L234&gt;0,L234&amp;" runs",IF(M234&gt;0,M234&amp;" wickets","-"))</f>
        <v>10 runs</v>
      </c>
      <c r="W234">
        <f>IF(G234=K234,1,0)</f>
        <v>1</v>
      </c>
      <c r="X234">
        <f>IF(L234&gt;0,L234,"")</f>
        <v>10</v>
      </c>
      <c r="Y234">
        <f>IF(X234="","",IF(X234&gt;Stats!$B$15,"Outlier",""))</f>
        <v/>
      </c>
      <c r="Z234" t="str">
        <f>P234&amp;" vs "&amp;Q234</f>
        <v>Deccan Chargers vs Mumbai Indians</v>
      </c>
    </row>
    <row r="235" spans="1:26" x14ac:dyDescent="0.25">
      <c r="A235">
        <v>293</v>
      </c>
      <c r="B235">
        <v>2011</v>
      </c>
      <c r="C235" s="5">
        <v>40678</v>
      </c>
      <c r="D235" t="s">
        <v>172</v>
      </c>
      <c r="E235" t="s">
        <v>26</v>
      </c>
      <c r="F235" t="s">
        <v>20</v>
      </c>
      <c r="G235" t="s">
        <v>20</v>
      </c>
      <c r="H235" t="s">
        <v>173</v>
      </c>
      <c r="I235" t="s">
        <v>174</v>
      </c>
      <c r="J235">
        <v>0</v>
      </c>
      <c r="K235" t="s">
        <v>26</v>
      </c>
      <c r="L235">
        <v>29</v>
      </c>
      <c r="M235">
        <v>0</v>
      </c>
      <c r="N235" t="s">
        <v>266</v>
      </c>
      <c r="O235" t="s">
        <v>80</v>
      </c>
      <c r="P235" t="str">
        <f>INDEX(Teams!$B:$B,MATCH(E235,Teams!$A:$A,0))</f>
        <v>Kings XI Punjab</v>
      </c>
      <c r="Q235" t="str">
        <f>INDEX(Teams!$B:$B,MATCH(F235,Teams!$A:$A,0))</f>
        <v>Delhi Capitals</v>
      </c>
      <c r="R235" t="str">
        <f>INDEX(Teams!$B:$B,MATCH(G235,Teams!$A:$A,0))</f>
        <v>Delhi Capitals</v>
      </c>
      <c r="S235" t="str">
        <f>IF(K235="","No result",INDEX(Teams!$B:$B,MATCH(K235,Teams!$A:$A,0)))</f>
        <v>Kings XI Punjab</v>
      </c>
      <c r="T235" t="str">
        <f>INDEX(Venues!$B:$B,MATCH(O235,Venues!$A:$A,0))</f>
        <v>Himachal Pradesh Cricket Association Stadium</v>
      </c>
      <c r="U235" t="str">
        <f>INDEX(Venues!$C:$C,MATCH(O235,Venues!$A:$A,0))</f>
        <v>Dharamsala</v>
      </c>
      <c r="V235" t="str">
        <f>IF(L235&gt;0,L235&amp;" runs",IF(M235&gt;0,M235&amp;" wickets","-"))</f>
        <v>29 runs</v>
      </c>
      <c r="W235">
        <f>IF(G235=K235,1,0)</f>
        <v>0</v>
      </c>
      <c r="X235">
        <f>IF(L235&gt;0,L235,"")</f>
        <v>29</v>
      </c>
      <c r="Y235">
        <f>IF(X235="","",IF(X235&gt;Stats!$B$15,"Outlier",""))</f>
        <v/>
      </c>
      <c r="Z235" t="str">
        <f>P235&amp;" vs "&amp;Q235</f>
        <v>Kings XI Punjab vs Delhi Capitals</v>
      </c>
    </row>
    <row r="236" spans="1:26" x14ac:dyDescent="0.25">
      <c r="A236">
        <v>294</v>
      </c>
      <c r="B236">
        <v>2011</v>
      </c>
      <c r="C236" s="5">
        <v>40678</v>
      </c>
      <c r="D236" t="s">
        <v>172</v>
      </c>
      <c r="E236" t="s">
        <v>41</v>
      </c>
      <c r="F236" t="s">
        <v>29</v>
      </c>
      <c r="G236" t="s">
        <v>29</v>
      </c>
      <c r="H236" t="s">
        <v>173</v>
      </c>
      <c r="I236" t="s">
        <v>174</v>
      </c>
      <c r="J236">
        <v>0</v>
      </c>
      <c r="K236" t="s">
        <v>29</v>
      </c>
      <c r="L236">
        <v>0</v>
      </c>
      <c r="M236">
        <v>8</v>
      </c>
      <c r="N236" t="s">
        <v>244</v>
      </c>
      <c r="O236" t="s">
        <v>83</v>
      </c>
      <c r="P236" t="str">
        <f>INDEX(Teams!$B:$B,MATCH(E236,Teams!$A:$A,0))</f>
        <v>Rajasthan Royals</v>
      </c>
      <c r="Q236" t="str">
        <f>INDEX(Teams!$B:$B,MATCH(F236,Teams!$A:$A,0))</f>
        <v>Kochi Tuskers Kerala</v>
      </c>
      <c r="R236" t="str">
        <f>INDEX(Teams!$B:$B,MATCH(G236,Teams!$A:$A,0))</f>
        <v>Kochi Tuskers Kerala</v>
      </c>
      <c r="S236" t="str">
        <f>IF(K236="","No result",INDEX(Teams!$B:$B,MATCH(K236,Teams!$A:$A,0)))</f>
        <v>Kochi Tuskers Kerala</v>
      </c>
      <c r="T236" t="str">
        <f>INDEX(Venues!$B:$B,MATCH(O236,Venues!$A:$A,0))</f>
        <v>Holkar Cricket Stadium</v>
      </c>
      <c r="U236" t="str">
        <f>INDEX(Venues!$C:$C,MATCH(O236,Venues!$A:$A,0))</f>
        <v>Indore</v>
      </c>
      <c r="V236" t="str">
        <f>IF(L236&gt;0,L236&amp;" runs",IF(M236&gt;0,M236&amp;" wickets","-"))</f>
        <v>8 wickets</v>
      </c>
      <c r="W236">
        <f>IF(G236=K236,1,0)</f>
        <v>1</v>
      </c>
      <c r="X236">
        <f>IF(L236&gt;0,L236,"")</f>
        <v/>
      </c>
      <c r="Y236">
        <f>IF(X236="","",IF(X236&gt;Stats!$B$15,"Outlier",""))</f>
        <v/>
      </c>
      <c r="Z236" t="str">
        <f>P236&amp;" vs "&amp;Q236</f>
        <v>Rajasthan Royals vs Kochi Tuskers Kerala</v>
      </c>
    </row>
    <row r="237" spans="1:26" x14ac:dyDescent="0.25">
      <c r="A237">
        <v>295</v>
      </c>
      <c r="B237">
        <v>2011</v>
      </c>
      <c r="C237" s="5">
        <v>40679</v>
      </c>
      <c r="D237" t="s">
        <v>172</v>
      </c>
      <c r="E237" t="s">
        <v>38</v>
      </c>
      <c r="F237" t="s">
        <v>16</v>
      </c>
      <c r="G237" t="s">
        <v>16</v>
      </c>
      <c r="H237" t="s">
        <v>173</v>
      </c>
      <c r="I237" t="s">
        <v>174</v>
      </c>
      <c r="J237">
        <v>0</v>
      </c>
      <c r="K237" t="s">
        <v>16</v>
      </c>
      <c r="L237">
        <v>0</v>
      </c>
      <c r="M237">
        <v>6</v>
      </c>
      <c r="N237" t="s">
        <v>203</v>
      </c>
      <c r="O237" t="s">
        <v>65</v>
      </c>
      <c r="P237" t="str">
        <f>INDEX(Teams!$B:$B,MATCH(E237,Teams!$A:$A,0))</f>
        <v>Pune Warriors</v>
      </c>
      <c r="Q237" t="str">
        <f>INDEX(Teams!$B:$B,MATCH(F237,Teams!$A:$A,0))</f>
        <v>Deccan Chargers</v>
      </c>
      <c r="R237" t="str">
        <f>INDEX(Teams!$B:$B,MATCH(G237,Teams!$A:$A,0))</f>
        <v>Deccan Chargers</v>
      </c>
      <c r="S237" t="str">
        <f>IF(K237="","No result",INDEX(Teams!$B:$B,MATCH(K237,Teams!$A:$A,0)))</f>
        <v>Deccan Chargers</v>
      </c>
      <c r="T237" t="str">
        <f>INDEX(Venues!$B:$B,MATCH(O237,Venues!$A:$A,0))</f>
        <v>Dr DY Patil Sports Academy</v>
      </c>
      <c r="U237" t="str">
        <f>INDEX(Venues!$C:$C,MATCH(O237,Venues!$A:$A,0))</f>
        <v>Mumbai</v>
      </c>
      <c r="V237" t="str">
        <f>IF(L237&gt;0,L237&amp;" runs",IF(M237&gt;0,M237&amp;" wickets","-"))</f>
        <v>6 wickets</v>
      </c>
      <c r="W237">
        <f>IF(G237=K237,1,0)</f>
        <v>1</v>
      </c>
      <c r="X237">
        <f>IF(L237&gt;0,L237,"")</f>
        <v/>
      </c>
      <c r="Y237">
        <f>IF(X237="","",IF(X237&gt;Stats!$B$15,"Outlier",""))</f>
        <v/>
      </c>
      <c r="Z237" t="str">
        <f>P237&amp;" vs "&amp;Q237</f>
        <v>Pune Warriors vs Deccan Chargers</v>
      </c>
    </row>
    <row r="238" spans="1:26" x14ac:dyDescent="0.25">
      <c r="A238">
        <v>296</v>
      </c>
      <c r="B238">
        <v>2011</v>
      </c>
      <c r="C238" s="5">
        <v>40680</v>
      </c>
      <c r="D238" t="s">
        <v>172</v>
      </c>
      <c r="E238" t="s">
        <v>26</v>
      </c>
      <c r="F238" t="s">
        <v>46</v>
      </c>
      <c r="G238" t="s">
        <v>26</v>
      </c>
      <c r="H238" t="s">
        <v>176</v>
      </c>
      <c r="I238" t="s">
        <v>174</v>
      </c>
      <c r="J238">
        <v>0</v>
      </c>
      <c r="K238" t="s">
        <v>26</v>
      </c>
      <c r="L238">
        <v>111</v>
      </c>
      <c r="M238">
        <v>0</v>
      </c>
      <c r="N238" t="s">
        <v>187</v>
      </c>
      <c r="O238" t="s">
        <v>80</v>
      </c>
      <c r="P238" t="str">
        <f>INDEX(Teams!$B:$B,MATCH(E238,Teams!$A:$A,0))</f>
        <v>Kings XI Punjab</v>
      </c>
      <c r="Q238" t="str">
        <f>INDEX(Teams!$B:$B,MATCH(F238,Teams!$A:$A,0))</f>
        <v>Royal Challengers Bangalore</v>
      </c>
      <c r="R238" t="str">
        <f>INDEX(Teams!$B:$B,MATCH(G238,Teams!$A:$A,0))</f>
        <v>Kings XI Punjab</v>
      </c>
      <c r="S238" t="str">
        <f>IF(K238="","No result",INDEX(Teams!$B:$B,MATCH(K238,Teams!$A:$A,0)))</f>
        <v>Kings XI Punjab</v>
      </c>
      <c r="T238" t="str">
        <f>INDEX(Venues!$B:$B,MATCH(O238,Venues!$A:$A,0))</f>
        <v>Himachal Pradesh Cricket Association Stadium</v>
      </c>
      <c r="U238" t="str">
        <f>INDEX(Venues!$C:$C,MATCH(O238,Venues!$A:$A,0))</f>
        <v>Dharamsala</v>
      </c>
      <c r="V238" t="str">
        <f>IF(L238&gt;0,L238&amp;" runs",IF(M238&gt;0,M238&amp;" wickets","-"))</f>
        <v>111 runs</v>
      </c>
      <c r="W238">
        <f>IF(G238=K238,1,0)</f>
        <v>1</v>
      </c>
      <c r="X238">
        <f>IF(L238&gt;0,L238,"")</f>
        <v>111</v>
      </c>
      <c r="Y238" t="str">
        <f>IF(X238="","",IF(X238&gt;Stats!$B$15,"Outlier",""))</f>
        <v>Outlier</v>
      </c>
      <c r="Z238" t="str">
        <f>P238&amp;" vs "&amp;Q238</f>
        <v>Kings XI Punjab vs Royal Challengers Bangalore</v>
      </c>
    </row>
    <row r="239" spans="1:26" x14ac:dyDescent="0.25">
      <c r="A239">
        <v>297</v>
      </c>
      <c r="B239">
        <v>2011</v>
      </c>
      <c r="C239" s="5">
        <v>40681</v>
      </c>
      <c r="D239" t="s">
        <v>172</v>
      </c>
      <c r="E239" t="s">
        <v>12</v>
      </c>
      <c r="F239" t="s">
        <v>29</v>
      </c>
      <c r="G239" t="s">
        <v>12</v>
      </c>
      <c r="H239" t="s">
        <v>176</v>
      </c>
      <c r="I239" t="s">
        <v>174</v>
      </c>
      <c r="J239">
        <v>0</v>
      </c>
      <c r="K239" t="s">
        <v>12</v>
      </c>
      <c r="L239">
        <v>11</v>
      </c>
      <c r="M239">
        <v>0</v>
      </c>
      <c r="N239" t="s">
        <v>291</v>
      </c>
      <c r="O239" t="s">
        <v>94</v>
      </c>
      <c r="P239" t="str">
        <f>INDEX(Teams!$B:$B,MATCH(E239,Teams!$A:$A,0))</f>
        <v>Chennai Super Kings</v>
      </c>
      <c r="Q239" t="str">
        <f>INDEX(Teams!$B:$B,MATCH(F239,Teams!$A:$A,0))</f>
        <v>Kochi Tuskers Kerala</v>
      </c>
      <c r="R239" t="str">
        <f>INDEX(Teams!$B:$B,MATCH(G239,Teams!$A:$A,0))</f>
        <v>Chennai Super Kings</v>
      </c>
      <c r="S239" t="str">
        <f>IF(K239="","No result",INDEX(Teams!$B:$B,MATCH(K239,Teams!$A:$A,0)))</f>
        <v>Chennai Super Kings</v>
      </c>
      <c r="T239" t="str">
        <f>INDEX(Venues!$B:$B,MATCH(O239,Venues!$A:$A,0))</f>
        <v>MA Chidambaram Stadium</v>
      </c>
      <c r="U239" t="str">
        <f>INDEX(Venues!$C:$C,MATCH(O239,Venues!$A:$A,0))</f>
        <v>Chennai</v>
      </c>
      <c r="V239" t="str">
        <f>IF(L239&gt;0,L239&amp;" runs",IF(M239&gt;0,M239&amp;" wickets","-"))</f>
        <v>11 runs</v>
      </c>
      <c r="W239">
        <f>IF(G239=K239,1,0)</f>
        <v>1</v>
      </c>
      <c r="X239">
        <f>IF(L239&gt;0,L239,"")</f>
        <v>11</v>
      </c>
      <c r="Y239">
        <f>IF(X239="","",IF(X239&gt;Stats!$B$15,"Outlier",""))</f>
        <v/>
      </c>
      <c r="Z239" t="str">
        <f>P239&amp;" vs "&amp;Q239</f>
        <v>Chennai Super Kings vs Kochi Tuskers Kerala</v>
      </c>
    </row>
    <row r="240" spans="1:26" x14ac:dyDescent="0.25">
      <c r="A240">
        <v>298</v>
      </c>
      <c r="B240">
        <v>2011</v>
      </c>
      <c r="C240" s="5">
        <v>40682</v>
      </c>
      <c r="D240" t="s">
        <v>172</v>
      </c>
      <c r="E240" t="s">
        <v>38</v>
      </c>
      <c r="F240" t="s">
        <v>32</v>
      </c>
      <c r="G240" t="s">
        <v>32</v>
      </c>
      <c r="H240" t="s">
        <v>173</v>
      </c>
      <c r="I240" t="s">
        <v>174</v>
      </c>
      <c r="J240">
        <v>0</v>
      </c>
      <c r="K240" t="s">
        <v>32</v>
      </c>
      <c r="L240">
        <v>0</v>
      </c>
      <c r="M240">
        <v>7</v>
      </c>
      <c r="N240" t="s">
        <v>184</v>
      </c>
      <c r="O240" t="s">
        <v>65</v>
      </c>
      <c r="P240" t="str">
        <f>INDEX(Teams!$B:$B,MATCH(E240,Teams!$A:$A,0))</f>
        <v>Pune Warriors</v>
      </c>
      <c r="Q240" t="str">
        <f>INDEX(Teams!$B:$B,MATCH(F240,Teams!$A:$A,0))</f>
        <v>Kolkata Knight Riders</v>
      </c>
      <c r="R240" t="str">
        <f>INDEX(Teams!$B:$B,MATCH(G240,Teams!$A:$A,0))</f>
        <v>Kolkata Knight Riders</v>
      </c>
      <c r="S240" t="str">
        <f>IF(K240="","No result",INDEX(Teams!$B:$B,MATCH(K240,Teams!$A:$A,0)))</f>
        <v>Kolkata Knight Riders</v>
      </c>
      <c r="T240" t="str">
        <f>INDEX(Venues!$B:$B,MATCH(O240,Venues!$A:$A,0))</f>
        <v>Dr DY Patil Sports Academy</v>
      </c>
      <c r="U240" t="str">
        <f>INDEX(Venues!$C:$C,MATCH(O240,Venues!$A:$A,0))</f>
        <v>Mumbai</v>
      </c>
      <c r="V240" t="str">
        <f>IF(L240&gt;0,L240&amp;" runs",IF(M240&gt;0,M240&amp;" wickets","-"))</f>
        <v>7 wickets</v>
      </c>
      <c r="W240">
        <f>IF(G240=K240,1,0)</f>
        <v>1</v>
      </c>
      <c r="X240">
        <f>IF(L240&gt;0,L240,"")</f>
        <v/>
      </c>
      <c r="Y240">
        <f>IF(X240="","",IF(X240&gt;Stats!$B$15,"Outlier",""))</f>
        <v/>
      </c>
      <c r="Z240" t="str">
        <f>P240&amp;" vs "&amp;Q240</f>
        <v>Pune Warriors vs Kolkata Knight Riders</v>
      </c>
    </row>
    <row r="241" spans="1:26" x14ac:dyDescent="0.25">
      <c r="A241">
        <v>299</v>
      </c>
      <c r="B241">
        <v>2011</v>
      </c>
      <c r="C241" s="5">
        <v>40683</v>
      </c>
      <c r="D241" t="s">
        <v>172</v>
      </c>
      <c r="E241" t="s">
        <v>35</v>
      </c>
      <c r="F241" t="s">
        <v>41</v>
      </c>
      <c r="G241" t="s">
        <v>35</v>
      </c>
      <c r="H241" t="s">
        <v>176</v>
      </c>
      <c r="I241" t="s">
        <v>174</v>
      </c>
      <c r="J241">
        <v>0</v>
      </c>
      <c r="K241" t="s">
        <v>41</v>
      </c>
      <c r="L241">
        <v>0</v>
      </c>
      <c r="M241">
        <v>10</v>
      </c>
      <c r="N241" t="s">
        <v>181</v>
      </c>
      <c r="O241" t="s">
        <v>138</v>
      </c>
      <c r="P241" t="str">
        <f>INDEX(Teams!$B:$B,MATCH(E241,Teams!$A:$A,0))</f>
        <v>Mumbai Indians</v>
      </c>
      <c r="Q241" t="str">
        <f>INDEX(Teams!$B:$B,MATCH(F241,Teams!$A:$A,0))</f>
        <v>Rajasthan Royals</v>
      </c>
      <c r="R241" t="str">
        <f>INDEX(Teams!$B:$B,MATCH(G241,Teams!$A:$A,0))</f>
        <v>Mumbai Indians</v>
      </c>
      <c r="S241" t="str">
        <f>IF(K241="","No result",INDEX(Teams!$B:$B,MATCH(K241,Teams!$A:$A,0)))</f>
        <v>Rajasthan Royals</v>
      </c>
      <c r="T241" t="str">
        <f>INDEX(Venues!$B:$B,MATCH(O241,Venues!$A:$A,0))</f>
        <v>Wankhede Stadium</v>
      </c>
      <c r="U241" t="str">
        <f>INDEX(Venues!$C:$C,MATCH(O241,Venues!$A:$A,0))</f>
        <v>Mumbai</v>
      </c>
      <c r="V241" t="str">
        <f>IF(L241&gt;0,L241&amp;" runs",IF(M241&gt;0,M241&amp;" wickets","-"))</f>
        <v>10 wickets</v>
      </c>
      <c r="W241">
        <f>IF(G241=K241,1,0)</f>
        <v>0</v>
      </c>
      <c r="X241">
        <f>IF(L241&gt;0,L241,"")</f>
        <v/>
      </c>
      <c r="Y241">
        <f>IF(X241="","",IF(X241&gt;Stats!$B$15,"Outlier",""))</f>
        <v/>
      </c>
      <c r="Z241" t="str">
        <f>P241&amp;" vs "&amp;Q241</f>
        <v>Mumbai Indians vs Rajasthan Royals</v>
      </c>
    </row>
    <row r="242" spans="1:26" x14ac:dyDescent="0.25">
      <c r="A242">
        <v>300</v>
      </c>
      <c r="B242">
        <v>2011</v>
      </c>
      <c r="C242" s="5">
        <v>40684</v>
      </c>
      <c r="D242" t="s">
        <v>172</v>
      </c>
      <c r="E242" t="s">
        <v>16</v>
      </c>
      <c r="F242" t="s">
        <v>26</v>
      </c>
      <c r="G242" t="s">
        <v>26</v>
      </c>
      <c r="H242" t="s">
        <v>173</v>
      </c>
      <c r="I242" t="s">
        <v>174</v>
      </c>
      <c r="J242">
        <v>0</v>
      </c>
      <c r="K242" t="s">
        <v>16</v>
      </c>
      <c r="L242">
        <v>82</v>
      </c>
      <c r="M242">
        <v>0</v>
      </c>
      <c r="N242" t="s">
        <v>292</v>
      </c>
      <c r="O242" t="s">
        <v>80</v>
      </c>
      <c r="P242" t="str">
        <f>INDEX(Teams!$B:$B,MATCH(E242,Teams!$A:$A,0))</f>
        <v>Deccan Chargers</v>
      </c>
      <c r="Q242" t="str">
        <f>INDEX(Teams!$B:$B,MATCH(F242,Teams!$A:$A,0))</f>
        <v>Kings XI Punjab</v>
      </c>
      <c r="R242" t="str">
        <f>INDEX(Teams!$B:$B,MATCH(G242,Teams!$A:$A,0))</f>
        <v>Kings XI Punjab</v>
      </c>
      <c r="S242" t="str">
        <f>IF(K242="","No result",INDEX(Teams!$B:$B,MATCH(K242,Teams!$A:$A,0)))</f>
        <v>Deccan Chargers</v>
      </c>
      <c r="T242" t="str">
        <f>INDEX(Venues!$B:$B,MATCH(O242,Venues!$A:$A,0))</f>
        <v>Himachal Pradesh Cricket Association Stadium</v>
      </c>
      <c r="U242" t="str">
        <f>INDEX(Venues!$C:$C,MATCH(O242,Venues!$A:$A,0))</f>
        <v>Dharamsala</v>
      </c>
      <c r="V242" t="str">
        <f>IF(L242&gt;0,L242&amp;" runs",IF(M242&gt;0,M242&amp;" wickets","-"))</f>
        <v>82 runs</v>
      </c>
      <c r="W242">
        <f>IF(G242=K242,1,0)</f>
        <v>0</v>
      </c>
      <c r="X242">
        <f>IF(L242&gt;0,L242,"")</f>
        <v>82</v>
      </c>
      <c r="Y242" t="str">
        <f>IF(X242="","",IF(X242&gt;Stats!$B$15,"Outlier",""))</f>
        <v>Outlier</v>
      </c>
      <c r="Z242" t="str">
        <f>P242&amp;" vs "&amp;Q242</f>
        <v>Deccan Chargers vs Kings XI Punjab</v>
      </c>
    </row>
    <row r="243" spans="1:26" x14ac:dyDescent="0.25">
      <c r="A243">
        <v>301</v>
      </c>
      <c r="B243">
        <v>2011</v>
      </c>
      <c r="C243" s="5">
        <v>40684</v>
      </c>
      <c r="D243" t="s">
        <v>172</v>
      </c>
      <c r="E243" t="s">
        <v>20</v>
      </c>
      <c r="F243" t="s">
        <v>38</v>
      </c>
      <c r="G243" t="s">
        <v>20</v>
      </c>
      <c r="H243" t="s">
        <v>176</v>
      </c>
      <c r="I243" t="s">
        <v>293</v>
      </c>
      <c r="J243">
        <v>0</v>
      </c>
      <c r="L243">
        <v>0</v>
      </c>
      <c r="M243">
        <v>0</v>
      </c>
      <c r="N243" t="s">
        <v>294</v>
      </c>
      <c r="O243" t="s">
        <v>75</v>
      </c>
      <c r="P243" t="str">
        <f>INDEX(Teams!$B:$B,MATCH(E243,Teams!$A:$A,0))</f>
        <v>Delhi Capitals</v>
      </c>
      <c r="Q243" t="str">
        <f>INDEX(Teams!$B:$B,MATCH(F243,Teams!$A:$A,0))</f>
        <v>Pune Warriors</v>
      </c>
      <c r="R243" t="str">
        <f>INDEX(Teams!$B:$B,MATCH(G243,Teams!$A:$A,0))</f>
        <v>Delhi Capitals</v>
      </c>
      <c r="S243" t="str">
        <f>IF(K243="","No result",INDEX(Teams!$B:$B,MATCH(K243,Teams!$A:$A,0)))</f>
        <v>No result</v>
      </c>
      <c r="T243" t="str">
        <f>INDEX(Venues!$B:$B,MATCH(O243,Venues!$A:$A,0))</f>
        <v>Feroz Shah Kotla</v>
      </c>
      <c r="U243" t="str">
        <f>INDEX(Venues!$C:$C,MATCH(O243,Venues!$A:$A,0))</f>
        <v>Delhi</v>
      </c>
      <c r="V243" t="str">
        <f>IF(L243&gt;0,L243&amp;" runs",IF(M243&gt;0,M243&amp;" wickets","-"))</f>
        <v>-</v>
      </c>
      <c r="W243">
        <f>IF(G243=K243,1,0)</f>
        <v>0</v>
      </c>
      <c r="X243">
        <f>IF(L243&gt;0,L243,"")</f>
        <v/>
      </c>
      <c r="Y243">
        <f>IF(X243="","",IF(X243&gt;Stats!$B$15,"Outlier",""))</f>
        <v/>
      </c>
      <c r="Z243" t="str">
        <f>P243&amp;" vs "&amp;Q243</f>
        <v>Delhi Capitals vs Pune Warriors</v>
      </c>
    </row>
    <row r="244" spans="1:26" x14ac:dyDescent="0.25">
      <c r="A244">
        <v>302</v>
      </c>
      <c r="B244">
        <v>2011</v>
      </c>
      <c r="C244" s="5">
        <v>40685</v>
      </c>
      <c r="D244" t="s">
        <v>172</v>
      </c>
      <c r="E244" t="s">
        <v>12</v>
      </c>
      <c r="F244" t="s">
        <v>46</v>
      </c>
      <c r="G244" t="s">
        <v>46</v>
      </c>
      <c r="H244" t="s">
        <v>173</v>
      </c>
      <c r="I244" t="s">
        <v>174</v>
      </c>
      <c r="J244">
        <v>0</v>
      </c>
      <c r="K244" t="s">
        <v>46</v>
      </c>
      <c r="L244">
        <v>0</v>
      </c>
      <c r="M244">
        <v>8</v>
      </c>
      <c r="N244" t="s">
        <v>222</v>
      </c>
      <c r="O244" t="s">
        <v>92</v>
      </c>
      <c r="P244" t="str">
        <f>INDEX(Teams!$B:$B,MATCH(E244,Teams!$A:$A,0))</f>
        <v>Chennai Super Kings</v>
      </c>
      <c r="Q244" t="str">
        <f>INDEX(Teams!$B:$B,MATCH(F244,Teams!$A:$A,0))</f>
        <v>Royal Challengers Bangalore</v>
      </c>
      <c r="R244" t="str">
        <f>INDEX(Teams!$B:$B,MATCH(G244,Teams!$A:$A,0))</f>
        <v>Royal Challengers Bangalore</v>
      </c>
      <c r="S244" t="str">
        <f>IF(K244="","No result",INDEX(Teams!$B:$B,MATCH(K244,Teams!$A:$A,0)))</f>
        <v>Royal Challengers Bangalore</v>
      </c>
      <c r="T244" t="str">
        <f>INDEX(Venues!$B:$B,MATCH(O244,Venues!$A:$A,0))</f>
        <v>M Chinnaswamy Stadium</v>
      </c>
      <c r="U244" t="str">
        <f>INDEX(Venues!$C:$C,MATCH(O244,Venues!$A:$A,0))</f>
        <v>Bangalore</v>
      </c>
      <c r="V244" t="str">
        <f>IF(L244&gt;0,L244&amp;" runs",IF(M244&gt;0,M244&amp;" wickets","-"))</f>
        <v>8 wickets</v>
      </c>
      <c r="W244">
        <f>IF(G244=K244,1,0)</f>
        <v>1</v>
      </c>
      <c r="X244">
        <f>IF(L244&gt;0,L244,"")</f>
        <v/>
      </c>
      <c r="Y244">
        <f>IF(X244="","",IF(X244&gt;Stats!$B$15,"Outlier",""))</f>
        <v/>
      </c>
      <c r="Z244" t="str">
        <f>P244&amp;" vs "&amp;Q244</f>
        <v>Chennai Super Kings vs Royal Challengers Bangalore</v>
      </c>
    </row>
    <row r="245" spans="1:26" x14ac:dyDescent="0.25">
      <c r="A245">
        <v>303</v>
      </c>
      <c r="B245">
        <v>2011</v>
      </c>
      <c r="C245" s="5">
        <v>40685</v>
      </c>
      <c r="D245" t="s">
        <v>172</v>
      </c>
      <c r="E245" t="s">
        <v>32</v>
      </c>
      <c r="F245" t="s">
        <v>35</v>
      </c>
      <c r="G245" t="s">
        <v>35</v>
      </c>
      <c r="H245" t="s">
        <v>173</v>
      </c>
      <c r="I245" t="s">
        <v>174</v>
      </c>
      <c r="J245">
        <v>0</v>
      </c>
      <c r="K245" t="s">
        <v>35</v>
      </c>
      <c r="L245">
        <v>0</v>
      </c>
      <c r="M245">
        <v>5</v>
      </c>
      <c r="N245" t="s">
        <v>295</v>
      </c>
      <c r="O245" t="s">
        <v>73</v>
      </c>
      <c r="P245" t="str">
        <f>INDEX(Teams!$B:$B,MATCH(E245,Teams!$A:$A,0))</f>
        <v>Kolkata Knight Riders</v>
      </c>
      <c r="Q245" t="str">
        <f>INDEX(Teams!$B:$B,MATCH(F245,Teams!$A:$A,0))</f>
        <v>Mumbai Indians</v>
      </c>
      <c r="R245" t="str">
        <f>INDEX(Teams!$B:$B,MATCH(G245,Teams!$A:$A,0))</f>
        <v>Mumbai Indians</v>
      </c>
      <c r="S245" t="str">
        <f>IF(K245="","No result",INDEX(Teams!$B:$B,MATCH(K245,Teams!$A:$A,0)))</f>
        <v>Mumbai Indians</v>
      </c>
      <c r="T245" t="str">
        <f>INDEX(Venues!$B:$B,MATCH(O245,Venues!$A:$A,0))</f>
        <v>Eden Gardens</v>
      </c>
      <c r="U245" t="str">
        <f>INDEX(Venues!$C:$C,MATCH(O245,Venues!$A:$A,0))</f>
        <v>Kolkata</v>
      </c>
      <c r="V245" t="str">
        <f>IF(L245&gt;0,L245&amp;" runs",IF(M245&gt;0,M245&amp;" wickets","-"))</f>
        <v>5 wickets</v>
      </c>
      <c r="W245">
        <f>IF(G245=K245,1,0)</f>
        <v>1</v>
      </c>
      <c r="X245">
        <f>IF(L245&gt;0,L245,"")</f>
        <v/>
      </c>
      <c r="Y245">
        <f>IF(X245="","",IF(X245&gt;Stats!$B$15,"Outlier",""))</f>
        <v/>
      </c>
      <c r="Z245" t="str">
        <f>P245&amp;" vs "&amp;Q245</f>
        <v>Kolkata Knight Riders vs Mumbai Indians</v>
      </c>
    </row>
    <row r="246" spans="1:26" x14ac:dyDescent="0.25">
      <c r="A246">
        <v>304</v>
      </c>
      <c r="B246">
        <v>2011</v>
      </c>
      <c r="C246" s="5">
        <v>40687</v>
      </c>
      <c r="D246" t="s">
        <v>172</v>
      </c>
      <c r="E246" t="s">
        <v>46</v>
      </c>
      <c r="F246" t="s">
        <v>12</v>
      </c>
      <c r="G246" t="s">
        <v>12</v>
      </c>
      <c r="H246" t="s">
        <v>173</v>
      </c>
      <c r="I246" t="s">
        <v>174</v>
      </c>
      <c r="J246">
        <v>0</v>
      </c>
      <c r="K246" t="s">
        <v>12</v>
      </c>
      <c r="L246">
        <v>0</v>
      </c>
      <c r="M246">
        <v>6</v>
      </c>
      <c r="N246" t="s">
        <v>214</v>
      </c>
      <c r="O246" t="s">
        <v>138</v>
      </c>
      <c r="P246" t="str">
        <f>INDEX(Teams!$B:$B,MATCH(E246,Teams!$A:$A,0))</f>
        <v>Royal Challengers Bangalore</v>
      </c>
      <c r="Q246" t="str">
        <f>INDEX(Teams!$B:$B,MATCH(F246,Teams!$A:$A,0))</f>
        <v>Chennai Super Kings</v>
      </c>
      <c r="R246" t="str">
        <f>INDEX(Teams!$B:$B,MATCH(G246,Teams!$A:$A,0))</f>
        <v>Chennai Super Kings</v>
      </c>
      <c r="S246" t="str">
        <f>IF(K246="","No result",INDEX(Teams!$B:$B,MATCH(K246,Teams!$A:$A,0)))</f>
        <v>Chennai Super Kings</v>
      </c>
      <c r="T246" t="str">
        <f>INDEX(Venues!$B:$B,MATCH(O246,Venues!$A:$A,0))</f>
        <v>Wankhede Stadium</v>
      </c>
      <c r="U246" t="str">
        <f>INDEX(Venues!$C:$C,MATCH(O246,Venues!$A:$A,0))</f>
        <v>Mumbai</v>
      </c>
      <c r="V246" t="str">
        <f>IF(L246&gt;0,L246&amp;" runs",IF(M246&gt;0,M246&amp;" wickets","-"))</f>
        <v>6 wickets</v>
      </c>
      <c r="W246">
        <f>IF(G246=K246,1,0)</f>
        <v>1</v>
      </c>
      <c r="X246">
        <f>IF(L246&gt;0,L246,"")</f>
        <v/>
      </c>
      <c r="Y246">
        <f>IF(X246="","",IF(X246&gt;Stats!$B$15,"Outlier",""))</f>
        <v/>
      </c>
      <c r="Z246" t="str">
        <f>P246&amp;" vs "&amp;Q246</f>
        <v>Royal Challengers Bangalore vs Chennai Super Kings</v>
      </c>
    </row>
    <row r="247" spans="1:26" x14ac:dyDescent="0.25">
      <c r="A247">
        <v>305</v>
      </c>
      <c r="B247">
        <v>2011</v>
      </c>
      <c r="C247" s="5">
        <v>40688</v>
      </c>
      <c r="D247" t="s">
        <v>172</v>
      </c>
      <c r="E247" t="s">
        <v>32</v>
      </c>
      <c r="F247" t="s">
        <v>35</v>
      </c>
      <c r="G247" t="s">
        <v>35</v>
      </c>
      <c r="H247" t="s">
        <v>173</v>
      </c>
      <c r="I247" t="s">
        <v>174</v>
      </c>
      <c r="J247">
        <v>0</v>
      </c>
      <c r="K247" t="s">
        <v>35</v>
      </c>
      <c r="L247">
        <v>0</v>
      </c>
      <c r="M247">
        <v>4</v>
      </c>
      <c r="N247" t="s">
        <v>281</v>
      </c>
      <c r="O247" t="s">
        <v>138</v>
      </c>
      <c r="P247" t="str">
        <f>INDEX(Teams!$B:$B,MATCH(E247,Teams!$A:$A,0))</f>
        <v>Kolkata Knight Riders</v>
      </c>
      <c r="Q247" t="str">
        <f>INDEX(Teams!$B:$B,MATCH(F247,Teams!$A:$A,0))</f>
        <v>Mumbai Indians</v>
      </c>
      <c r="R247" t="str">
        <f>INDEX(Teams!$B:$B,MATCH(G247,Teams!$A:$A,0))</f>
        <v>Mumbai Indians</v>
      </c>
      <c r="S247" t="str">
        <f>IF(K247="","No result",INDEX(Teams!$B:$B,MATCH(K247,Teams!$A:$A,0)))</f>
        <v>Mumbai Indians</v>
      </c>
      <c r="T247" t="str">
        <f>INDEX(Venues!$B:$B,MATCH(O247,Venues!$A:$A,0))</f>
        <v>Wankhede Stadium</v>
      </c>
      <c r="U247" t="str">
        <f>INDEX(Venues!$C:$C,MATCH(O247,Venues!$A:$A,0))</f>
        <v>Mumbai</v>
      </c>
      <c r="V247" t="str">
        <f>IF(L247&gt;0,L247&amp;" runs",IF(M247&gt;0,M247&amp;" wickets","-"))</f>
        <v>4 wickets</v>
      </c>
      <c r="W247">
        <f>IF(G247=K247,1,0)</f>
        <v>1</v>
      </c>
      <c r="X247">
        <f>IF(L247&gt;0,L247,"")</f>
        <v/>
      </c>
      <c r="Y247">
        <f>IF(X247="","",IF(X247&gt;Stats!$B$15,"Outlier",""))</f>
        <v/>
      </c>
      <c r="Z247" t="str">
        <f>P247&amp;" vs "&amp;Q247</f>
        <v>Kolkata Knight Riders vs Mumbai Indians</v>
      </c>
    </row>
    <row r="248" spans="1:26" x14ac:dyDescent="0.25">
      <c r="A248">
        <v>306</v>
      </c>
      <c r="B248">
        <v>2011</v>
      </c>
      <c r="C248" s="5">
        <v>40690</v>
      </c>
      <c r="D248" t="s">
        <v>172</v>
      </c>
      <c r="E248" t="s">
        <v>46</v>
      </c>
      <c r="F248" t="s">
        <v>35</v>
      </c>
      <c r="G248" t="s">
        <v>35</v>
      </c>
      <c r="H248" t="s">
        <v>173</v>
      </c>
      <c r="I248" t="s">
        <v>174</v>
      </c>
      <c r="J248">
        <v>0</v>
      </c>
      <c r="K248" t="s">
        <v>46</v>
      </c>
      <c r="L248">
        <v>43</v>
      </c>
      <c r="M248">
        <v>0</v>
      </c>
      <c r="N248" t="s">
        <v>222</v>
      </c>
      <c r="O248" t="s">
        <v>94</v>
      </c>
      <c r="P248" t="str">
        <f>INDEX(Teams!$B:$B,MATCH(E248,Teams!$A:$A,0))</f>
        <v>Royal Challengers Bangalore</v>
      </c>
      <c r="Q248" t="str">
        <f>INDEX(Teams!$B:$B,MATCH(F248,Teams!$A:$A,0))</f>
        <v>Mumbai Indians</v>
      </c>
      <c r="R248" t="str">
        <f>INDEX(Teams!$B:$B,MATCH(G248,Teams!$A:$A,0))</f>
        <v>Mumbai Indians</v>
      </c>
      <c r="S248" t="str">
        <f>IF(K248="","No result",INDEX(Teams!$B:$B,MATCH(K248,Teams!$A:$A,0)))</f>
        <v>Royal Challengers Bangalore</v>
      </c>
      <c r="T248" t="str">
        <f>INDEX(Venues!$B:$B,MATCH(O248,Venues!$A:$A,0))</f>
        <v>MA Chidambaram Stadium</v>
      </c>
      <c r="U248" t="str">
        <f>INDEX(Venues!$C:$C,MATCH(O248,Venues!$A:$A,0))</f>
        <v>Chennai</v>
      </c>
      <c r="V248" t="str">
        <f>IF(L248&gt;0,L248&amp;" runs",IF(M248&gt;0,M248&amp;" wickets","-"))</f>
        <v>43 runs</v>
      </c>
      <c r="W248">
        <f>IF(G248=K248,1,0)</f>
        <v>0</v>
      </c>
      <c r="X248">
        <f>IF(L248&gt;0,L248,"")</f>
        <v>43</v>
      </c>
      <c r="Y248">
        <f>IF(X248="","",IF(X248&gt;Stats!$B$15,"Outlier",""))</f>
        <v/>
      </c>
      <c r="Z248" t="str">
        <f>P248&amp;" vs "&amp;Q248</f>
        <v>Royal Challengers Bangalore vs Mumbai Indians</v>
      </c>
    </row>
    <row r="249" spans="1:26" x14ac:dyDescent="0.25">
      <c r="A249">
        <v>307</v>
      </c>
      <c r="B249">
        <v>2011</v>
      </c>
      <c r="C249" s="5">
        <v>40691</v>
      </c>
      <c r="D249" t="s">
        <v>216</v>
      </c>
      <c r="E249" t="s">
        <v>12</v>
      </c>
      <c r="F249" t="s">
        <v>46</v>
      </c>
      <c r="G249" t="s">
        <v>12</v>
      </c>
      <c r="H249" t="s">
        <v>176</v>
      </c>
      <c r="I249" t="s">
        <v>174</v>
      </c>
      <c r="J249">
        <v>0</v>
      </c>
      <c r="K249" t="s">
        <v>12</v>
      </c>
      <c r="L249">
        <v>58</v>
      </c>
      <c r="M249">
        <v>0</v>
      </c>
      <c r="N249" t="s">
        <v>259</v>
      </c>
      <c r="O249" t="s">
        <v>94</v>
      </c>
      <c r="P249" t="str">
        <f>INDEX(Teams!$B:$B,MATCH(E249,Teams!$A:$A,0))</f>
        <v>Chennai Super Kings</v>
      </c>
      <c r="Q249" t="str">
        <f>INDEX(Teams!$B:$B,MATCH(F249,Teams!$A:$A,0))</f>
        <v>Royal Challengers Bangalore</v>
      </c>
      <c r="R249" t="str">
        <f>INDEX(Teams!$B:$B,MATCH(G249,Teams!$A:$A,0))</f>
        <v>Chennai Super Kings</v>
      </c>
      <c r="S249" t="str">
        <f>IF(K249="","No result",INDEX(Teams!$B:$B,MATCH(K249,Teams!$A:$A,0)))</f>
        <v>Chennai Super Kings</v>
      </c>
      <c r="T249" t="str">
        <f>INDEX(Venues!$B:$B,MATCH(O249,Venues!$A:$A,0))</f>
        <v>MA Chidambaram Stadium</v>
      </c>
      <c r="U249" t="str">
        <f>INDEX(Venues!$C:$C,MATCH(O249,Venues!$A:$A,0))</f>
        <v>Chennai</v>
      </c>
      <c r="V249" t="str">
        <f>IF(L249&gt;0,L249&amp;" runs",IF(M249&gt;0,M249&amp;" wickets","-"))</f>
        <v>58 runs</v>
      </c>
      <c r="W249">
        <f>IF(G249=K249,1,0)</f>
        <v>1</v>
      </c>
      <c r="X249">
        <f>IF(L249&gt;0,L249,"")</f>
        <v>58</v>
      </c>
      <c r="Y249">
        <f>IF(X249="","",IF(X249&gt;Stats!$B$15,"Outlier",""))</f>
        <v/>
      </c>
      <c r="Z249" t="str">
        <f>P249&amp;" vs "&amp;Q249</f>
        <v>Chennai Super Kings vs Royal Challengers Bangalore</v>
      </c>
    </row>
    <row r="250" spans="1:26" x14ac:dyDescent="0.25">
      <c r="A250">
        <v>308</v>
      </c>
      <c r="B250">
        <v>2012</v>
      </c>
      <c r="C250" s="5">
        <v>41003</v>
      </c>
      <c r="D250" t="s">
        <v>172</v>
      </c>
      <c r="E250" t="s">
        <v>12</v>
      </c>
      <c r="F250" t="s">
        <v>35</v>
      </c>
      <c r="G250" t="s">
        <v>35</v>
      </c>
      <c r="H250" t="s">
        <v>173</v>
      </c>
      <c r="I250" t="s">
        <v>174</v>
      </c>
      <c r="J250">
        <v>0</v>
      </c>
      <c r="K250" t="s">
        <v>35</v>
      </c>
      <c r="L250">
        <v>0</v>
      </c>
      <c r="M250">
        <v>8</v>
      </c>
      <c r="N250" t="s">
        <v>296</v>
      </c>
      <c r="O250" t="s">
        <v>94</v>
      </c>
      <c r="P250" t="str">
        <f>INDEX(Teams!$B:$B,MATCH(E250,Teams!$A:$A,0))</f>
        <v>Chennai Super Kings</v>
      </c>
      <c r="Q250" t="str">
        <f>INDEX(Teams!$B:$B,MATCH(F250,Teams!$A:$A,0))</f>
        <v>Mumbai Indians</v>
      </c>
      <c r="R250" t="str">
        <f>INDEX(Teams!$B:$B,MATCH(G250,Teams!$A:$A,0))</f>
        <v>Mumbai Indians</v>
      </c>
      <c r="S250" t="str">
        <f>IF(K250="","No result",INDEX(Teams!$B:$B,MATCH(K250,Teams!$A:$A,0)))</f>
        <v>Mumbai Indians</v>
      </c>
      <c r="T250" t="str">
        <f>INDEX(Venues!$B:$B,MATCH(O250,Venues!$A:$A,0))</f>
        <v>MA Chidambaram Stadium</v>
      </c>
      <c r="U250" t="str">
        <f>INDEX(Venues!$C:$C,MATCH(O250,Venues!$A:$A,0))</f>
        <v>Chennai</v>
      </c>
      <c r="V250" t="str">
        <f>IF(L250&gt;0,L250&amp;" runs",IF(M250&gt;0,M250&amp;" wickets","-"))</f>
        <v>8 wickets</v>
      </c>
      <c r="W250">
        <f>IF(G250=K250,1,0)</f>
        <v>1</v>
      </c>
      <c r="X250">
        <f>IF(L250&gt;0,L250,"")</f>
        <v/>
      </c>
      <c r="Y250">
        <f>IF(X250="","",IF(X250&gt;Stats!$B$15,"Outlier",""))</f>
        <v/>
      </c>
      <c r="Z250" t="str">
        <f>P250&amp;" vs "&amp;Q250</f>
        <v>Chennai Super Kings vs Mumbai Indians</v>
      </c>
    </row>
    <row r="251" spans="1:26" x14ac:dyDescent="0.25">
      <c r="A251">
        <v>309</v>
      </c>
      <c r="B251">
        <v>2012</v>
      </c>
      <c r="C251" s="5">
        <v>41004</v>
      </c>
      <c r="D251" t="s">
        <v>172</v>
      </c>
      <c r="E251" t="s">
        <v>32</v>
      </c>
      <c r="F251" t="s">
        <v>20</v>
      </c>
      <c r="G251" t="s">
        <v>20</v>
      </c>
      <c r="H251" t="s">
        <v>173</v>
      </c>
      <c r="I251" t="s">
        <v>174</v>
      </c>
      <c r="J251">
        <v>0</v>
      </c>
      <c r="K251" t="s">
        <v>20</v>
      </c>
      <c r="L251">
        <v>0</v>
      </c>
      <c r="M251">
        <v>8</v>
      </c>
      <c r="N251" t="s">
        <v>194</v>
      </c>
      <c r="O251" t="s">
        <v>73</v>
      </c>
      <c r="P251" t="str">
        <f>INDEX(Teams!$B:$B,MATCH(E251,Teams!$A:$A,0))</f>
        <v>Kolkata Knight Riders</v>
      </c>
      <c r="Q251" t="str">
        <f>INDEX(Teams!$B:$B,MATCH(F251,Teams!$A:$A,0))</f>
        <v>Delhi Capitals</v>
      </c>
      <c r="R251" t="str">
        <f>INDEX(Teams!$B:$B,MATCH(G251,Teams!$A:$A,0))</f>
        <v>Delhi Capitals</v>
      </c>
      <c r="S251" t="str">
        <f>IF(K251="","No result",INDEX(Teams!$B:$B,MATCH(K251,Teams!$A:$A,0)))</f>
        <v>Delhi Capitals</v>
      </c>
      <c r="T251" t="str">
        <f>INDEX(Venues!$B:$B,MATCH(O251,Venues!$A:$A,0))</f>
        <v>Eden Gardens</v>
      </c>
      <c r="U251" t="str">
        <f>INDEX(Venues!$C:$C,MATCH(O251,Venues!$A:$A,0))</f>
        <v>Kolkata</v>
      </c>
      <c r="V251" t="str">
        <f>IF(L251&gt;0,L251&amp;" runs",IF(M251&gt;0,M251&amp;" wickets","-"))</f>
        <v>8 wickets</v>
      </c>
      <c r="W251">
        <f>IF(G251=K251,1,0)</f>
        <v>1</v>
      </c>
      <c r="X251">
        <f>IF(L251&gt;0,L251,"")</f>
        <v/>
      </c>
      <c r="Y251">
        <f>IF(X251="","",IF(X251&gt;Stats!$B$15,"Outlier",""))</f>
        <v/>
      </c>
      <c r="Z251" t="str">
        <f>P251&amp;" vs "&amp;Q251</f>
        <v>Kolkata Knight Riders vs Delhi Capitals</v>
      </c>
    </row>
    <row r="252" spans="1:26" x14ac:dyDescent="0.25">
      <c r="A252">
        <v>310</v>
      </c>
      <c r="B252">
        <v>2012</v>
      </c>
      <c r="C252" s="5">
        <v>41005</v>
      </c>
      <c r="D252" t="s">
        <v>172</v>
      </c>
      <c r="E252" t="s">
        <v>38</v>
      </c>
      <c r="F252" t="s">
        <v>35</v>
      </c>
      <c r="G252" t="s">
        <v>35</v>
      </c>
      <c r="H252" t="s">
        <v>173</v>
      </c>
      <c r="I252" t="s">
        <v>174</v>
      </c>
      <c r="J252">
        <v>0</v>
      </c>
      <c r="K252" t="s">
        <v>38</v>
      </c>
      <c r="L252">
        <v>28</v>
      </c>
      <c r="M252">
        <v>0</v>
      </c>
      <c r="N252" t="s">
        <v>297</v>
      </c>
      <c r="O252" t="s">
        <v>138</v>
      </c>
      <c r="P252" t="str">
        <f>INDEX(Teams!$B:$B,MATCH(E252,Teams!$A:$A,0))</f>
        <v>Pune Warriors</v>
      </c>
      <c r="Q252" t="str">
        <f>INDEX(Teams!$B:$B,MATCH(F252,Teams!$A:$A,0))</f>
        <v>Mumbai Indians</v>
      </c>
      <c r="R252" t="str">
        <f>INDEX(Teams!$B:$B,MATCH(G252,Teams!$A:$A,0))</f>
        <v>Mumbai Indians</v>
      </c>
      <c r="S252" t="str">
        <f>IF(K252="","No result",INDEX(Teams!$B:$B,MATCH(K252,Teams!$A:$A,0)))</f>
        <v>Pune Warriors</v>
      </c>
      <c r="T252" t="str">
        <f>INDEX(Venues!$B:$B,MATCH(O252,Venues!$A:$A,0))</f>
        <v>Wankhede Stadium</v>
      </c>
      <c r="U252" t="str">
        <f>INDEX(Venues!$C:$C,MATCH(O252,Venues!$A:$A,0))</f>
        <v>Mumbai</v>
      </c>
      <c r="V252" t="str">
        <f>IF(L252&gt;0,L252&amp;" runs",IF(M252&gt;0,M252&amp;" wickets","-"))</f>
        <v>28 runs</v>
      </c>
      <c r="W252">
        <f>IF(G252=K252,1,0)</f>
        <v>0</v>
      </c>
      <c r="X252">
        <f>IF(L252&gt;0,L252,"")</f>
        <v>28</v>
      </c>
      <c r="Y252">
        <f>IF(X252="","",IF(X252&gt;Stats!$B$15,"Outlier",""))</f>
        <v/>
      </c>
      <c r="Z252" t="str">
        <f>P252&amp;" vs "&amp;Q252</f>
        <v>Pune Warriors vs Mumbai Indians</v>
      </c>
    </row>
    <row r="253" spans="1:26" x14ac:dyDescent="0.25">
      <c r="A253">
        <v>311</v>
      </c>
      <c r="B253">
        <v>2012</v>
      </c>
      <c r="C253" s="5">
        <v>41005</v>
      </c>
      <c r="D253" t="s">
        <v>172</v>
      </c>
      <c r="E253" t="s">
        <v>41</v>
      </c>
      <c r="F253" t="s">
        <v>26</v>
      </c>
      <c r="G253" t="s">
        <v>26</v>
      </c>
      <c r="H253" t="s">
        <v>173</v>
      </c>
      <c r="I253" t="s">
        <v>174</v>
      </c>
      <c r="J253">
        <v>0</v>
      </c>
      <c r="K253" t="s">
        <v>41</v>
      </c>
      <c r="L253">
        <v>31</v>
      </c>
      <c r="M253">
        <v>0</v>
      </c>
      <c r="N253" t="s">
        <v>298</v>
      </c>
      <c r="O253" t="s">
        <v>118</v>
      </c>
      <c r="P253" t="str">
        <f>INDEX(Teams!$B:$B,MATCH(E253,Teams!$A:$A,0))</f>
        <v>Rajasthan Royals</v>
      </c>
      <c r="Q253" t="str">
        <f>INDEX(Teams!$B:$B,MATCH(F253,Teams!$A:$A,0))</f>
        <v>Kings XI Punjab</v>
      </c>
      <c r="R253" t="str">
        <f>INDEX(Teams!$B:$B,MATCH(G253,Teams!$A:$A,0))</f>
        <v>Kings XI Punjab</v>
      </c>
      <c r="S253" t="str">
        <f>IF(K253="","No result",INDEX(Teams!$B:$B,MATCH(K253,Teams!$A:$A,0)))</f>
        <v>Rajasthan Royals</v>
      </c>
      <c r="T253" t="str">
        <f>INDEX(Venues!$B:$B,MATCH(O253,Venues!$A:$A,0))</f>
        <v>Sawai Mansingh Stadium</v>
      </c>
      <c r="U253" t="str">
        <f>INDEX(Venues!$C:$C,MATCH(O253,Venues!$A:$A,0))</f>
        <v>Jaipur</v>
      </c>
      <c r="V253" t="str">
        <f>IF(L253&gt;0,L253&amp;" runs",IF(M253&gt;0,M253&amp;" wickets","-"))</f>
        <v>31 runs</v>
      </c>
      <c r="W253">
        <f>IF(G253=K253,1,0)</f>
        <v>0</v>
      </c>
      <c r="X253">
        <f>IF(L253&gt;0,L253,"")</f>
        <v>31</v>
      </c>
      <c r="Y253">
        <f>IF(X253="","",IF(X253&gt;Stats!$B$15,"Outlier",""))</f>
        <v/>
      </c>
      <c r="Z253" t="str">
        <f>P253&amp;" vs "&amp;Q253</f>
        <v>Rajasthan Royals vs Kings XI Punjab</v>
      </c>
    </row>
    <row r="254" spans="1:26" x14ac:dyDescent="0.25">
      <c r="A254">
        <v>312</v>
      </c>
      <c r="B254">
        <v>2012</v>
      </c>
      <c r="C254" s="5">
        <v>41006</v>
      </c>
      <c r="D254" t="s">
        <v>172</v>
      </c>
      <c r="E254" t="s">
        <v>46</v>
      </c>
      <c r="F254" t="s">
        <v>20</v>
      </c>
      <c r="G254" t="s">
        <v>20</v>
      </c>
      <c r="H254" t="s">
        <v>173</v>
      </c>
      <c r="I254" t="s">
        <v>174</v>
      </c>
      <c r="J254">
        <v>0</v>
      </c>
      <c r="K254" t="s">
        <v>46</v>
      </c>
      <c r="L254">
        <v>20</v>
      </c>
      <c r="M254">
        <v>0</v>
      </c>
      <c r="N254" t="s">
        <v>223</v>
      </c>
      <c r="O254" t="s">
        <v>92</v>
      </c>
      <c r="P254" t="str">
        <f>INDEX(Teams!$B:$B,MATCH(E254,Teams!$A:$A,0))</f>
        <v>Royal Challengers Bangalore</v>
      </c>
      <c r="Q254" t="str">
        <f>INDEX(Teams!$B:$B,MATCH(F254,Teams!$A:$A,0))</f>
        <v>Delhi Capitals</v>
      </c>
      <c r="R254" t="str">
        <f>INDEX(Teams!$B:$B,MATCH(G254,Teams!$A:$A,0))</f>
        <v>Delhi Capitals</v>
      </c>
      <c r="S254" t="str">
        <f>IF(K254="","No result",INDEX(Teams!$B:$B,MATCH(K254,Teams!$A:$A,0)))</f>
        <v>Royal Challengers Bangalore</v>
      </c>
      <c r="T254" t="str">
        <f>INDEX(Venues!$B:$B,MATCH(O254,Venues!$A:$A,0))</f>
        <v>M Chinnaswamy Stadium</v>
      </c>
      <c r="U254" t="str">
        <f>INDEX(Venues!$C:$C,MATCH(O254,Venues!$A:$A,0))</f>
        <v>Bangalore</v>
      </c>
      <c r="V254" t="str">
        <f>IF(L254&gt;0,L254&amp;" runs",IF(M254&gt;0,M254&amp;" wickets","-"))</f>
        <v>20 runs</v>
      </c>
      <c r="W254">
        <f>IF(G254=K254,1,0)</f>
        <v>0</v>
      </c>
      <c r="X254">
        <f>IF(L254&gt;0,L254,"")</f>
        <v>20</v>
      </c>
      <c r="Y254">
        <f>IF(X254="","",IF(X254&gt;Stats!$B$15,"Outlier",""))</f>
        <v/>
      </c>
      <c r="Z254" t="str">
        <f>P254&amp;" vs "&amp;Q254</f>
        <v>Royal Challengers Bangalore vs Delhi Capitals</v>
      </c>
    </row>
    <row r="255" spans="1:26" x14ac:dyDescent="0.25">
      <c r="A255">
        <v>313</v>
      </c>
      <c r="B255">
        <v>2012</v>
      </c>
      <c r="C255" s="5">
        <v>41006</v>
      </c>
      <c r="D255" t="s">
        <v>172</v>
      </c>
      <c r="E255" t="s">
        <v>12</v>
      </c>
      <c r="F255" t="s">
        <v>16</v>
      </c>
      <c r="G255" t="s">
        <v>16</v>
      </c>
      <c r="H255" t="s">
        <v>173</v>
      </c>
      <c r="I255" t="s">
        <v>174</v>
      </c>
      <c r="J255">
        <v>0</v>
      </c>
      <c r="K255" t="s">
        <v>12</v>
      </c>
      <c r="L255">
        <v>74</v>
      </c>
      <c r="M255">
        <v>0</v>
      </c>
      <c r="N255" t="s">
        <v>299</v>
      </c>
      <c r="O255" t="s">
        <v>67</v>
      </c>
      <c r="P255" t="str">
        <f>INDEX(Teams!$B:$B,MATCH(E255,Teams!$A:$A,0))</f>
        <v>Chennai Super Kings</v>
      </c>
      <c r="Q255" t="str">
        <f>INDEX(Teams!$B:$B,MATCH(F255,Teams!$A:$A,0))</f>
        <v>Deccan Chargers</v>
      </c>
      <c r="R255" t="str">
        <f>INDEX(Teams!$B:$B,MATCH(G255,Teams!$A:$A,0))</f>
        <v>Deccan Chargers</v>
      </c>
      <c r="S255" t="str">
        <f>IF(K255="","No result",INDEX(Teams!$B:$B,MATCH(K255,Teams!$A:$A,0)))</f>
        <v>Chennai Super Kings</v>
      </c>
      <c r="T255" t="str">
        <f>INDEX(Venues!$B:$B,MATCH(O255,Venues!$A:$A,0))</f>
        <v>Dr. Y.S. Rajasekhara Reddy ACA-VDCA Cricket Stadium</v>
      </c>
      <c r="U255" t="str">
        <f>INDEX(Venues!$C:$C,MATCH(O255,Venues!$A:$A,0))</f>
        <v>Visakhapatnam</v>
      </c>
      <c r="V255" t="str">
        <f>IF(L255&gt;0,L255&amp;" runs",IF(M255&gt;0,M255&amp;" wickets","-"))</f>
        <v>74 runs</v>
      </c>
      <c r="W255">
        <f>IF(G255=K255,1,0)</f>
        <v>0</v>
      </c>
      <c r="X255">
        <f>IF(L255&gt;0,L255,"")</f>
        <v>74</v>
      </c>
      <c r="Y255">
        <f>IF(X255="","",IF(X255&gt;Stats!$B$15,"Outlier",""))</f>
        <v/>
      </c>
      <c r="Z255" t="str">
        <f>P255&amp;" vs "&amp;Q255</f>
        <v>Chennai Super Kings vs Deccan Chargers</v>
      </c>
    </row>
    <row r="256" spans="1:26" x14ac:dyDescent="0.25">
      <c r="A256">
        <v>314</v>
      </c>
      <c r="B256">
        <v>2012</v>
      </c>
      <c r="C256" s="5">
        <v>41007</v>
      </c>
      <c r="D256" t="s">
        <v>172</v>
      </c>
      <c r="E256" t="s">
        <v>41</v>
      </c>
      <c r="F256" t="s">
        <v>32</v>
      </c>
      <c r="G256" t="s">
        <v>32</v>
      </c>
      <c r="H256" t="s">
        <v>173</v>
      </c>
      <c r="I256" t="s">
        <v>174</v>
      </c>
      <c r="J256">
        <v>0</v>
      </c>
      <c r="K256" t="s">
        <v>41</v>
      </c>
      <c r="L256">
        <v>22</v>
      </c>
      <c r="M256">
        <v>0</v>
      </c>
      <c r="N256" t="s">
        <v>244</v>
      </c>
      <c r="O256" t="s">
        <v>118</v>
      </c>
      <c r="P256" t="str">
        <f>INDEX(Teams!$B:$B,MATCH(E256,Teams!$A:$A,0))</f>
        <v>Rajasthan Royals</v>
      </c>
      <c r="Q256" t="str">
        <f>INDEX(Teams!$B:$B,MATCH(F256,Teams!$A:$A,0))</f>
        <v>Kolkata Knight Riders</v>
      </c>
      <c r="R256" t="str">
        <f>INDEX(Teams!$B:$B,MATCH(G256,Teams!$A:$A,0))</f>
        <v>Kolkata Knight Riders</v>
      </c>
      <c r="S256" t="str">
        <f>IF(K256="","No result",INDEX(Teams!$B:$B,MATCH(K256,Teams!$A:$A,0)))</f>
        <v>Rajasthan Royals</v>
      </c>
      <c r="T256" t="str">
        <f>INDEX(Venues!$B:$B,MATCH(O256,Venues!$A:$A,0))</f>
        <v>Sawai Mansingh Stadium</v>
      </c>
      <c r="U256" t="str">
        <f>INDEX(Venues!$C:$C,MATCH(O256,Venues!$A:$A,0))</f>
        <v>Jaipur</v>
      </c>
      <c r="V256" t="str">
        <f>IF(L256&gt;0,L256&amp;" runs",IF(M256&gt;0,M256&amp;" wickets","-"))</f>
        <v>22 runs</v>
      </c>
      <c r="W256">
        <f>IF(G256=K256,1,0)</f>
        <v>0</v>
      </c>
      <c r="X256">
        <f>IF(L256&gt;0,L256,"")</f>
        <v>22</v>
      </c>
      <c r="Y256">
        <f>IF(X256="","",IF(X256&gt;Stats!$B$15,"Outlier",""))</f>
        <v/>
      </c>
      <c r="Z256" t="str">
        <f>P256&amp;" vs "&amp;Q256</f>
        <v>Rajasthan Royals vs Kolkata Knight Riders</v>
      </c>
    </row>
    <row r="257" spans="1:26" x14ac:dyDescent="0.25">
      <c r="A257">
        <v>315</v>
      </c>
      <c r="B257">
        <v>2012</v>
      </c>
      <c r="C257" s="5">
        <v>41007</v>
      </c>
      <c r="D257" t="s">
        <v>172</v>
      </c>
      <c r="E257" t="s">
        <v>38</v>
      </c>
      <c r="F257" t="s">
        <v>26</v>
      </c>
      <c r="G257" t="s">
        <v>38</v>
      </c>
      <c r="H257" t="s">
        <v>176</v>
      </c>
      <c r="I257" t="s">
        <v>174</v>
      </c>
      <c r="J257">
        <v>0</v>
      </c>
      <c r="K257" t="s">
        <v>38</v>
      </c>
      <c r="L257">
        <v>22</v>
      </c>
      <c r="M257">
        <v>0</v>
      </c>
      <c r="N257" t="s">
        <v>300</v>
      </c>
      <c r="O257" t="s">
        <v>96</v>
      </c>
      <c r="P257" t="str">
        <f>INDEX(Teams!$B:$B,MATCH(E257,Teams!$A:$A,0))</f>
        <v>Pune Warriors</v>
      </c>
      <c r="Q257" t="str">
        <f>INDEX(Teams!$B:$B,MATCH(F257,Teams!$A:$A,0))</f>
        <v>Kings XI Punjab</v>
      </c>
      <c r="R257" t="str">
        <f>INDEX(Teams!$B:$B,MATCH(G257,Teams!$A:$A,0))</f>
        <v>Pune Warriors</v>
      </c>
      <c r="S257" t="str">
        <f>IF(K257="","No result",INDEX(Teams!$B:$B,MATCH(K257,Teams!$A:$A,0)))</f>
        <v>Pune Warriors</v>
      </c>
      <c r="T257" t="str">
        <f>INDEX(Venues!$B:$B,MATCH(O257,Venues!$A:$A,0))</f>
        <v>Maharashtra Cricket Association Stadium</v>
      </c>
      <c r="U257" t="str">
        <f>INDEX(Venues!$C:$C,MATCH(O257,Venues!$A:$A,0))</f>
        <v>Pune</v>
      </c>
      <c r="V257" t="str">
        <f>IF(L257&gt;0,L257&amp;" runs",IF(M257&gt;0,M257&amp;" wickets","-"))</f>
        <v>22 runs</v>
      </c>
      <c r="W257">
        <f>IF(G257=K257,1,0)</f>
        <v>1</v>
      </c>
      <c r="X257">
        <f>IF(L257&gt;0,L257,"")</f>
        <v>22</v>
      </c>
      <c r="Y257">
        <f>IF(X257="","",IF(X257&gt;Stats!$B$15,"Outlier",""))</f>
        <v/>
      </c>
      <c r="Z257" t="str">
        <f>P257&amp;" vs "&amp;Q257</f>
        <v>Pune Warriors vs Kings XI Punjab</v>
      </c>
    </row>
    <row r="258" spans="1:26" x14ac:dyDescent="0.25">
      <c r="A258">
        <v>316</v>
      </c>
      <c r="B258">
        <v>2012</v>
      </c>
      <c r="C258" s="5">
        <v>41008</v>
      </c>
      <c r="D258" t="s">
        <v>172</v>
      </c>
      <c r="E258" t="s">
        <v>16</v>
      </c>
      <c r="F258" t="s">
        <v>35</v>
      </c>
      <c r="G258" t="s">
        <v>16</v>
      </c>
      <c r="H258" t="s">
        <v>176</v>
      </c>
      <c r="I258" t="s">
        <v>174</v>
      </c>
      <c r="J258">
        <v>0</v>
      </c>
      <c r="K258" t="s">
        <v>35</v>
      </c>
      <c r="L258">
        <v>0</v>
      </c>
      <c r="M258">
        <v>5</v>
      </c>
      <c r="N258" t="s">
        <v>235</v>
      </c>
      <c r="O258" t="s">
        <v>67</v>
      </c>
      <c r="P258" t="str">
        <f>INDEX(Teams!$B:$B,MATCH(E258,Teams!$A:$A,0))</f>
        <v>Deccan Chargers</v>
      </c>
      <c r="Q258" t="str">
        <f>INDEX(Teams!$B:$B,MATCH(F258,Teams!$A:$A,0))</f>
        <v>Mumbai Indians</v>
      </c>
      <c r="R258" t="str">
        <f>INDEX(Teams!$B:$B,MATCH(G258,Teams!$A:$A,0))</f>
        <v>Deccan Chargers</v>
      </c>
      <c r="S258" t="str">
        <f>IF(K258="","No result",INDEX(Teams!$B:$B,MATCH(K258,Teams!$A:$A,0)))</f>
        <v>Mumbai Indians</v>
      </c>
      <c r="T258" t="str">
        <f>INDEX(Venues!$B:$B,MATCH(O258,Venues!$A:$A,0))</f>
        <v>Dr. Y.S. Rajasekhara Reddy ACA-VDCA Cricket Stadium</v>
      </c>
      <c r="U258" t="str">
        <f>INDEX(Venues!$C:$C,MATCH(O258,Venues!$A:$A,0))</f>
        <v>Visakhapatnam</v>
      </c>
      <c r="V258" t="str">
        <f>IF(L258&gt;0,L258&amp;" runs",IF(M258&gt;0,M258&amp;" wickets","-"))</f>
        <v>5 wickets</v>
      </c>
      <c r="W258">
        <f>IF(G258=K258,1,0)</f>
        <v>0</v>
      </c>
      <c r="X258">
        <f>IF(L258&gt;0,L258,"")</f>
        <v/>
      </c>
      <c r="Y258">
        <f>IF(X258="","",IF(X258&gt;Stats!$B$15,"Outlier",""))</f>
        <v/>
      </c>
      <c r="Z258" t="str">
        <f>P258&amp;" vs "&amp;Q258</f>
        <v>Deccan Chargers vs Mumbai Indians</v>
      </c>
    </row>
    <row r="259" spans="1:26" x14ac:dyDescent="0.25">
      <c r="A259">
        <v>317</v>
      </c>
      <c r="B259">
        <v>2012</v>
      </c>
      <c r="C259" s="5">
        <v>41009</v>
      </c>
      <c r="D259" t="s">
        <v>172</v>
      </c>
      <c r="E259" t="s">
        <v>32</v>
      </c>
      <c r="F259" t="s">
        <v>46</v>
      </c>
      <c r="G259" t="s">
        <v>46</v>
      </c>
      <c r="H259" t="s">
        <v>173</v>
      </c>
      <c r="I259" t="s">
        <v>174</v>
      </c>
      <c r="J259">
        <v>0</v>
      </c>
      <c r="K259" t="s">
        <v>32</v>
      </c>
      <c r="L259">
        <v>42</v>
      </c>
      <c r="M259">
        <v>0</v>
      </c>
      <c r="N259" t="s">
        <v>201</v>
      </c>
      <c r="O259" t="s">
        <v>92</v>
      </c>
      <c r="P259" t="str">
        <f>INDEX(Teams!$B:$B,MATCH(E259,Teams!$A:$A,0))</f>
        <v>Kolkata Knight Riders</v>
      </c>
      <c r="Q259" t="str">
        <f>INDEX(Teams!$B:$B,MATCH(F259,Teams!$A:$A,0))</f>
        <v>Royal Challengers Bangalore</v>
      </c>
      <c r="R259" t="str">
        <f>INDEX(Teams!$B:$B,MATCH(G259,Teams!$A:$A,0))</f>
        <v>Royal Challengers Bangalore</v>
      </c>
      <c r="S259" t="str">
        <f>IF(K259="","No result",INDEX(Teams!$B:$B,MATCH(K259,Teams!$A:$A,0)))</f>
        <v>Kolkata Knight Riders</v>
      </c>
      <c r="T259" t="str">
        <f>INDEX(Venues!$B:$B,MATCH(O259,Venues!$A:$A,0))</f>
        <v>M Chinnaswamy Stadium</v>
      </c>
      <c r="U259" t="str">
        <f>INDEX(Venues!$C:$C,MATCH(O259,Venues!$A:$A,0))</f>
        <v>Bangalore</v>
      </c>
      <c r="V259" t="str">
        <f>IF(L259&gt;0,L259&amp;" runs",IF(M259&gt;0,M259&amp;" wickets","-"))</f>
        <v>42 runs</v>
      </c>
      <c r="W259">
        <f>IF(G259=K259,1,0)</f>
        <v>0</v>
      </c>
      <c r="X259">
        <f>IF(L259&gt;0,L259,"")</f>
        <v>42</v>
      </c>
      <c r="Y259">
        <f>IF(X259="","",IF(X259&gt;Stats!$B$15,"Outlier",""))</f>
        <v/>
      </c>
      <c r="Z259" t="str">
        <f>P259&amp;" vs "&amp;Q259</f>
        <v>Kolkata Knight Riders vs Royal Challengers Bangalore</v>
      </c>
    </row>
    <row r="260" spans="1:26" x14ac:dyDescent="0.25">
      <c r="A260">
        <v>318</v>
      </c>
      <c r="B260">
        <v>2012</v>
      </c>
      <c r="C260" s="5">
        <v>41009</v>
      </c>
      <c r="D260" t="s">
        <v>172</v>
      </c>
      <c r="E260" t="s">
        <v>12</v>
      </c>
      <c r="F260" t="s">
        <v>20</v>
      </c>
      <c r="G260" t="s">
        <v>20</v>
      </c>
      <c r="H260" t="s">
        <v>173</v>
      </c>
      <c r="I260" t="s">
        <v>174</v>
      </c>
      <c r="J260">
        <v>0</v>
      </c>
      <c r="K260" t="s">
        <v>20</v>
      </c>
      <c r="L260">
        <v>0</v>
      </c>
      <c r="M260">
        <v>8</v>
      </c>
      <c r="N260" t="s">
        <v>301</v>
      </c>
      <c r="O260" t="s">
        <v>75</v>
      </c>
      <c r="P260" t="str">
        <f>INDEX(Teams!$B:$B,MATCH(E260,Teams!$A:$A,0))</f>
        <v>Chennai Super Kings</v>
      </c>
      <c r="Q260" t="str">
        <f>INDEX(Teams!$B:$B,MATCH(F260,Teams!$A:$A,0))</f>
        <v>Delhi Capitals</v>
      </c>
      <c r="R260" t="str">
        <f>INDEX(Teams!$B:$B,MATCH(G260,Teams!$A:$A,0))</f>
        <v>Delhi Capitals</v>
      </c>
      <c r="S260" t="str">
        <f>IF(K260="","No result",INDEX(Teams!$B:$B,MATCH(K260,Teams!$A:$A,0)))</f>
        <v>Delhi Capitals</v>
      </c>
      <c r="T260" t="str">
        <f>INDEX(Venues!$B:$B,MATCH(O260,Venues!$A:$A,0))</f>
        <v>Feroz Shah Kotla</v>
      </c>
      <c r="U260" t="str">
        <f>INDEX(Venues!$C:$C,MATCH(O260,Venues!$A:$A,0))</f>
        <v>Delhi</v>
      </c>
      <c r="V260" t="str">
        <f>IF(L260&gt;0,L260&amp;" runs",IF(M260&gt;0,M260&amp;" wickets","-"))</f>
        <v>8 wickets</v>
      </c>
      <c r="W260">
        <f>IF(G260=K260,1,0)</f>
        <v>1</v>
      </c>
      <c r="X260">
        <f>IF(L260&gt;0,L260,"")</f>
        <v/>
      </c>
      <c r="Y260">
        <f>IF(X260="","",IF(X260&gt;Stats!$B$15,"Outlier",""))</f>
        <v/>
      </c>
      <c r="Z260" t="str">
        <f>P260&amp;" vs "&amp;Q260</f>
        <v>Chennai Super Kings vs Delhi Capitals</v>
      </c>
    </row>
    <row r="261" spans="1:26" x14ac:dyDescent="0.25">
      <c r="A261">
        <v>319</v>
      </c>
      <c r="B261">
        <v>2012</v>
      </c>
      <c r="C261" s="5">
        <v>41010</v>
      </c>
      <c r="D261" t="s">
        <v>172</v>
      </c>
      <c r="E261" t="s">
        <v>35</v>
      </c>
      <c r="F261" t="s">
        <v>41</v>
      </c>
      <c r="G261" t="s">
        <v>41</v>
      </c>
      <c r="H261" t="s">
        <v>173</v>
      </c>
      <c r="I261" t="s">
        <v>174</v>
      </c>
      <c r="J261">
        <v>0</v>
      </c>
      <c r="K261" t="s">
        <v>35</v>
      </c>
      <c r="L261">
        <v>27</v>
      </c>
      <c r="M261">
        <v>0</v>
      </c>
      <c r="N261" t="s">
        <v>268</v>
      </c>
      <c r="O261" t="s">
        <v>138</v>
      </c>
      <c r="P261" t="str">
        <f>INDEX(Teams!$B:$B,MATCH(E261,Teams!$A:$A,0))</f>
        <v>Mumbai Indians</v>
      </c>
      <c r="Q261" t="str">
        <f>INDEX(Teams!$B:$B,MATCH(F261,Teams!$A:$A,0))</f>
        <v>Rajasthan Royals</v>
      </c>
      <c r="R261" t="str">
        <f>INDEX(Teams!$B:$B,MATCH(G261,Teams!$A:$A,0))</f>
        <v>Rajasthan Royals</v>
      </c>
      <c r="S261" t="str">
        <f>IF(K261="","No result",INDEX(Teams!$B:$B,MATCH(K261,Teams!$A:$A,0)))</f>
        <v>Mumbai Indians</v>
      </c>
      <c r="T261" t="str">
        <f>INDEX(Venues!$B:$B,MATCH(O261,Venues!$A:$A,0))</f>
        <v>Wankhede Stadium</v>
      </c>
      <c r="U261" t="str">
        <f>INDEX(Venues!$C:$C,MATCH(O261,Venues!$A:$A,0))</f>
        <v>Mumbai</v>
      </c>
      <c r="V261" t="str">
        <f>IF(L261&gt;0,L261&amp;" runs",IF(M261&gt;0,M261&amp;" wickets","-"))</f>
        <v>27 runs</v>
      </c>
      <c r="W261">
        <f>IF(G261=K261,1,0)</f>
        <v>0</v>
      </c>
      <c r="X261">
        <f>IF(L261&gt;0,L261,"")</f>
        <v>27</v>
      </c>
      <c r="Y261">
        <f>IF(X261="","",IF(X261&gt;Stats!$B$15,"Outlier",""))</f>
        <v/>
      </c>
      <c r="Z261" t="str">
        <f>P261&amp;" vs "&amp;Q261</f>
        <v>Mumbai Indians vs Rajasthan Royals</v>
      </c>
    </row>
    <row r="262" spans="1:26" x14ac:dyDescent="0.25">
      <c r="A262">
        <v>320</v>
      </c>
      <c r="B262">
        <v>2012</v>
      </c>
      <c r="C262" s="5">
        <v>41011</v>
      </c>
      <c r="D262" t="s">
        <v>172</v>
      </c>
      <c r="E262" t="s">
        <v>46</v>
      </c>
      <c r="F262" t="s">
        <v>12</v>
      </c>
      <c r="G262" t="s">
        <v>46</v>
      </c>
      <c r="H262" t="s">
        <v>176</v>
      </c>
      <c r="I262" t="s">
        <v>174</v>
      </c>
      <c r="J262">
        <v>0</v>
      </c>
      <c r="K262" t="s">
        <v>12</v>
      </c>
      <c r="L262">
        <v>0</v>
      </c>
      <c r="M262">
        <v>5</v>
      </c>
      <c r="N262" t="s">
        <v>302</v>
      </c>
      <c r="O262" t="s">
        <v>94</v>
      </c>
      <c r="P262" t="str">
        <f>INDEX(Teams!$B:$B,MATCH(E262,Teams!$A:$A,0))</f>
        <v>Royal Challengers Bangalore</v>
      </c>
      <c r="Q262" t="str">
        <f>INDEX(Teams!$B:$B,MATCH(F262,Teams!$A:$A,0))</f>
        <v>Chennai Super Kings</v>
      </c>
      <c r="R262" t="str">
        <f>INDEX(Teams!$B:$B,MATCH(G262,Teams!$A:$A,0))</f>
        <v>Royal Challengers Bangalore</v>
      </c>
      <c r="S262" t="str">
        <f>IF(K262="","No result",INDEX(Teams!$B:$B,MATCH(K262,Teams!$A:$A,0)))</f>
        <v>Chennai Super Kings</v>
      </c>
      <c r="T262" t="str">
        <f>INDEX(Venues!$B:$B,MATCH(O262,Venues!$A:$A,0))</f>
        <v>MA Chidambaram Stadium</v>
      </c>
      <c r="U262" t="str">
        <f>INDEX(Venues!$C:$C,MATCH(O262,Venues!$A:$A,0))</f>
        <v>Chennai</v>
      </c>
      <c r="V262" t="str">
        <f>IF(L262&gt;0,L262&amp;" runs",IF(M262&gt;0,M262&amp;" wickets","-"))</f>
        <v>5 wickets</v>
      </c>
      <c r="W262">
        <f>IF(G262=K262,1,0)</f>
        <v>0</v>
      </c>
      <c r="X262">
        <f>IF(L262&gt;0,L262,"")</f>
        <v/>
      </c>
      <c r="Y262">
        <f>IF(X262="","",IF(X262&gt;Stats!$B$15,"Outlier",""))</f>
        <v/>
      </c>
      <c r="Z262" t="str">
        <f>P262&amp;" vs "&amp;Q262</f>
        <v>Royal Challengers Bangalore vs Chennai Super Kings</v>
      </c>
    </row>
    <row r="263" spans="1:26" x14ac:dyDescent="0.25">
      <c r="A263">
        <v>321</v>
      </c>
      <c r="B263">
        <v>2012</v>
      </c>
      <c r="C263" s="5">
        <v>41011</v>
      </c>
      <c r="D263" t="s">
        <v>172</v>
      </c>
      <c r="E263" t="s">
        <v>38</v>
      </c>
      <c r="F263" t="s">
        <v>26</v>
      </c>
      <c r="G263" t="s">
        <v>26</v>
      </c>
      <c r="H263" t="s">
        <v>173</v>
      </c>
      <c r="I263" t="s">
        <v>174</v>
      </c>
      <c r="J263">
        <v>0</v>
      </c>
      <c r="K263" t="s">
        <v>26</v>
      </c>
      <c r="L263">
        <v>0</v>
      </c>
      <c r="M263">
        <v>7</v>
      </c>
      <c r="N263" t="s">
        <v>303</v>
      </c>
      <c r="O263" t="s">
        <v>109</v>
      </c>
      <c r="P263" t="str">
        <f>INDEX(Teams!$B:$B,MATCH(E263,Teams!$A:$A,0))</f>
        <v>Pune Warriors</v>
      </c>
      <c r="Q263" t="str">
        <f>INDEX(Teams!$B:$B,MATCH(F263,Teams!$A:$A,0))</f>
        <v>Kings XI Punjab</v>
      </c>
      <c r="R263" t="str">
        <f>INDEX(Teams!$B:$B,MATCH(G263,Teams!$A:$A,0))</f>
        <v>Kings XI Punjab</v>
      </c>
      <c r="S263" t="str">
        <f>IF(K263="","No result",INDEX(Teams!$B:$B,MATCH(K263,Teams!$A:$A,0)))</f>
        <v>Kings XI Punjab</v>
      </c>
      <c r="T263" t="str">
        <f>INDEX(Venues!$B:$B,MATCH(O263,Venues!$A:$A,0))</f>
        <v>Punjab Cricket Association IS Bindra Stadium</v>
      </c>
      <c r="U263" t="str">
        <f>INDEX(Venues!$C:$C,MATCH(O263,Venues!$A:$A,0))</f>
        <v>Chandigarh</v>
      </c>
      <c r="V263" t="str">
        <f>IF(L263&gt;0,L263&amp;" runs",IF(M263&gt;0,M263&amp;" wickets","-"))</f>
        <v>7 wickets</v>
      </c>
      <c r="W263">
        <f>IF(G263=K263,1,0)</f>
        <v>1</v>
      </c>
      <c r="X263">
        <f>IF(L263&gt;0,L263,"")</f>
        <v/>
      </c>
      <c r="Y263">
        <f>IF(X263="","",IF(X263&gt;Stats!$B$15,"Outlier",""))</f>
        <v/>
      </c>
      <c r="Z263" t="str">
        <f>P263&amp;" vs "&amp;Q263</f>
        <v>Pune Warriors vs Kings XI Punjab</v>
      </c>
    </row>
    <row r="264" spans="1:26" x14ac:dyDescent="0.25">
      <c r="A264">
        <v>322</v>
      </c>
      <c r="B264">
        <v>2012</v>
      </c>
      <c r="C264" s="5">
        <v>41012</v>
      </c>
      <c r="D264" t="s">
        <v>172</v>
      </c>
      <c r="E264" t="s">
        <v>41</v>
      </c>
      <c r="F264" t="s">
        <v>32</v>
      </c>
      <c r="G264" t="s">
        <v>41</v>
      </c>
      <c r="H264" t="s">
        <v>176</v>
      </c>
      <c r="I264" t="s">
        <v>174</v>
      </c>
      <c r="J264">
        <v>0</v>
      </c>
      <c r="K264" t="s">
        <v>32</v>
      </c>
      <c r="L264">
        <v>0</v>
      </c>
      <c r="M264">
        <v>5</v>
      </c>
      <c r="N264" t="s">
        <v>304</v>
      </c>
      <c r="O264" t="s">
        <v>73</v>
      </c>
      <c r="P264" t="str">
        <f>INDEX(Teams!$B:$B,MATCH(E264,Teams!$A:$A,0))</f>
        <v>Rajasthan Royals</v>
      </c>
      <c r="Q264" t="str">
        <f>INDEX(Teams!$B:$B,MATCH(F264,Teams!$A:$A,0))</f>
        <v>Kolkata Knight Riders</v>
      </c>
      <c r="R264" t="str">
        <f>INDEX(Teams!$B:$B,MATCH(G264,Teams!$A:$A,0))</f>
        <v>Rajasthan Royals</v>
      </c>
      <c r="S264" t="str">
        <f>IF(K264="","No result",INDEX(Teams!$B:$B,MATCH(K264,Teams!$A:$A,0)))</f>
        <v>Kolkata Knight Riders</v>
      </c>
      <c r="T264" t="str">
        <f>INDEX(Venues!$B:$B,MATCH(O264,Venues!$A:$A,0))</f>
        <v>Eden Gardens</v>
      </c>
      <c r="U264" t="str">
        <f>INDEX(Venues!$C:$C,MATCH(O264,Venues!$A:$A,0))</f>
        <v>Kolkata</v>
      </c>
      <c r="V264" t="str">
        <f>IF(L264&gt;0,L264&amp;" runs",IF(M264&gt;0,M264&amp;" wickets","-"))</f>
        <v>5 wickets</v>
      </c>
      <c r="W264">
        <f>IF(G264=K264,1,0)</f>
        <v>0</v>
      </c>
      <c r="X264">
        <f>IF(L264&gt;0,L264,"")</f>
        <v/>
      </c>
      <c r="Y264">
        <f>IF(X264="","",IF(X264&gt;Stats!$B$15,"Outlier",""))</f>
        <v/>
      </c>
      <c r="Z264" t="str">
        <f>P264&amp;" vs "&amp;Q264</f>
        <v>Rajasthan Royals vs Kolkata Knight Riders</v>
      </c>
    </row>
    <row r="265" spans="1:26" x14ac:dyDescent="0.25">
      <c r="A265">
        <v>324</v>
      </c>
      <c r="B265">
        <v>2012</v>
      </c>
      <c r="C265" s="5">
        <v>41013</v>
      </c>
      <c r="D265" t="s">
        <v>172</v>
      </c>
      <c r="E265" t="s">
        <v>12</v>
      </c>
      <c r="F265" t="s">
        <v>38</v>
      </c>
      <c r="G265" t="s">
        <v>12</v>
      </c>
      <c r="H265" t="s">
        <v>176</v>
      </c>
      <c r="I265" t="s">
        <v>174</v>
      </c>
      <c r="J265">
        <v>0</v>
      </c>
      <c r="K265" t="s">
        <v>38</v>
      </c>
      <c r="L265">
        <v>0</v>
      </c>
      <c r="M265">
        <v>7</v>
      </c>
      <c r="N265" t="s">
        <v>305</v>
      </c>
      <c r="O265" t="s">
        <v>96</v>
      </c>
      <c r="P265" t="str">
        <f>INDEX(Teams!$B:$B,MATCH(E265,Teams!$A:$A,0))</f>
        <v>Chennai Super Kings</v>
      </c>
      <c r="Q265" t="str">
        <f>INDEX(Teams!$B:$B,MATCH(F265,Teams!$A:$A,0))</f>
        <v>Pune Warriors</v>
      </c>
      <c r="R265" t="str">
        <f>INDEX(Teams!$B:$B,MATCH(G265,Teams!$A:$A,0))</f>
        <v>Chennai Super Kings</v>
      </c>
      <c r="S265" t="str">
        <f>IF(K265="","No result",INDEX(Teams!$B:$B,MATCH(K265,Teams!$A:$A,0)))</f>
        <v>Pune Warriors</v>
      </c>
      <c r="T265" t="str">
        <f>INDEX(Venues!$B:$B,MATCH(O265,Venues!$A:$A,0))</f>
        <v>Maharashtra Cricket Association Stadium</v>
      </c>
      <c r="U265" t="str">
        <f>INDEX(Venues!$C:$C,MATCH(O265,Venues!$A:$A,0))</f>
        <v>Pune</v>
      </c>
      <c r="V265" t="str">
        <f>IF(L265&gt;0,L265&amp;" runs",IF(M265&gt;0,M265&amp;" wickets","-"))</f>
        <v>7 wickets</v>
      </c>
      <c r="W265">
        <f>IF(G265=K265,1,0)</f>
        <v>0</v>
      </c>
      <c r="X265">
        <f>IF(L265&gt;0,L265,"")</f>
        <v/>
      </c>
      <c r="Y265">
        <f>IF(X265="","",IF(X265&gt;Stats!$B$15,"Outlier",""))</f>
        <v/>
      </c>
      <c r="Z265" t="str">
        <f>P265&amp;" vs "&amp;Q265</f>
        <v>Chennai Super Kings vs Pune Warriors</v>
      </c>
    </row>
    <row r="266" spans="1:26" x14ac:dyDescent="0.25">
      <c r="A266">
        <v>325</v>
      </c>
      <c r="B266">
        <v>2012</v>
      </c>
      <c r="C266" s="5">
        <v>41014</v>
      </c>
      <c r="D266" t="s">
        <v>172</v>
      </c>
      <c r="E266" t="s">
        <v>26</v>
      </c>
      <c r="F266" t="s">
        <v>32</v>
      </c>
      <c r="G266" t="s">
        <v>32</v>
      </c>
      <c r="H266" t="s">
        <v>173</v>
      </c>
      <c r="I266" t="s">
        <v>174</v>
      </c>
      <c r="J266">
        <v>0</v>
      </c>
      <c r="K266" t="s">
        <v>26</v>
      </c>
      <c r="L266">
        <v>2</v>
      </c>
      <c r="M266">
        <v>0</v>
      </c>
      <c r="N266" t="s">
        <v>306</v>
      </c>
      <c r="O266" t="s">
        <v>73</v>
      </c>
      <c r="P266" t="str">
        <f>INDEX(Teams!$B:$B,MATCH(E266,Teams!$A:$A,0))</f>
        <v>Kings XI Punjab</v>
      </c>
      <c r="Q266" t="str">
        <f>INDEX(Teams!$B:$B,MATCH(F266,Teams!$A:$A,0))</f>
        <v>Kolkata Knight Riders</v>
      </c>
      <c r="R266" t="str">
        <f>INDEX(Teams!$B:$B,MATCH(G266,Teams!$A:$A,0))</f>
        <v>Kolkata Knight Riders</v>
      </c>
      <c r="S266" t="str">
        <f>IF(K266="","No result",INDEX(Teams!$B:$B,MATCH(K266,Teams!$A:$A,0)))</f>
        <v>Kings XI Punjab</v>
      </c>
      <c r="T266" t="str">
        <f>INDEX(Venues!$B:$B,MATCH(O266,Venues!$A:$A,0))</f>
        <v>Eden Gardens</v>
      </c>
      <c r="U266" t="str">
        <f>INDEX(Venues!$C:$C,MATCH(O266,Venues!$A:$A,0))</f>
        <v>Kolkata</v>
      </c>
      <c r="V266" t="str">
        <f>IF(L266&gt;0,L266&amp;" runs",IF(M266&gt;0,M266&amp;" wickets","-"))</f>
        <v>2 runs</v>
      </c>
      <c r="W266">
        <f>IF(G266=K266,1,0)</f>
        <v>0</v>
      </c>
      <c r="X266">
        <f>IF(L266&gt;0,L266,"")</f>
        <v>2</v>
      </c>
      <c r="Y266">
        <f>IF(X266="","",IF(X266&gt;Stats!$B$15,"Outlier",""))</f>
        <v/>
      </c>
      <c r="Z266" t="str">
        <f>P266&amp;" vs "&amp;Q266</f>
        <v>Kings XI Punjab vs Kolkata Knight Riders</v>
      </c>
    </row>
    <row r="267" spans="1:26" x14ac:dyDescent="0.25">
      <c r="A267">
        <v>326</v>
      </c>
      <c r="B267">
        <v>2012</v>
      </c>
      <c r="C267" s="5">
        <v>41014</v>
      </c>
      <c r="D267" t="s">
        <v>172</v>
      </c>
      <c r="E267" t="s">
        <v>41</v>
      </c>
      <c r="F267" t="s">
        <v>46</v>
      </c>
      <c r="G267" t="s">
        <v>41</v>
      </c>
      <c r="H267" t="s">
        <v>176</v>
      </c>
      <c r="I267" t="s">
        <v>174</v>
      </c>
      <c r="J267">
        <v>0</v>
      </c>
      <c r="K267" t="s">
        <v>41</v>
      </c>
      <c r="L267">
        <v>59</v>
      </c>
      <c r="M267">
        <v>0</v>
      </c>
      <c r="N267" t="s">
        <v>298</v>
      </c>
      <c r="O267" t="s">
        <v>92</v>
      </c>
      <c r="P267" t="str">
        <f>INDEX(Teams!$B:$B,MATCH(E267,Teams!$A:$A,0))</f>
        <v>Rajasthan Royals</v>
      </c>
      <c r="Q267" t="str">
        <f>INDEX(Teams!$B:$B,MATCH(F267,Teams!$A:$A,0))</f>
        <v>Royal Challengers Bangalore</v>
      </c>
      <c r="R267" t="str">
        <f>INDEX(Teams!$B:$B,MATCH(G267,Teams!$A:$A,0))</f>
        <v>Rajasthan Royals</v>
      </c>
      <c r="S267" t="str">
        <f>IF(K267="","No result",INDEX(Teams!$B:$B,MATCH(K267,Teams!$A:$A,0)))</f>
        <v>Rajasthan Royals</v>
      </c>
      <c r="T267" t="str">
        <f>INDEX(Venues!$B:$B,MATCH(O267,Venues!$A:$A,0))</f>
        <v>M Chinnaswamy Stadium</v>
      </c>
      <c r="U267" t="str">
        <f>INDEX(Venues!$C:$C,MATCH(O267,Venues!$A:$A,0))</f>
        <v>Bangalore</v>
      </c>
      <c r="V267" t="str">
        <f>IF(L267&gt;0,L267&amp;" runs",IF(M267&gt;0,M267&amp;" wickets","-"))</f>
        <v>59 runs</v>
      </c>
      <c r="W267">
        <f>IF(G267=K267,1,0)</f>
        <v>1</v>
      </c>
      <c r="X267">
        <f>IF(L267&gt;0,L267,"")</f>
        <v>59</v>
      </c>
      <c r="Y267">
        <f>IF(X267="","",IF(X267&gt;Stats!$B$15,"Outlier",""))</f>
        <v/>
      </c>
      <c r="Z267" t="str">
        <f>P267&amp;" vs "&amp;Q267</f>
        <v>Rajasthan Royals vs Royal Challengers Bangalore</v>
      </c>
    </row>
    <row r="268" spans="1:26" x14ac:dyDescent="0.25">
      <c r="A268">
        <v>327</v>
      </c>
      <c r="B268">
        <v>2012</v>
      </c>
      <c r="C268" s="5">
        <v>41015</v>
      </c>
      <c r="D268" t="s">
        <v>172</v>
      </c>
      <c r="E268" t="s">
        <v>35</v>
      </c>
      <c r="F268" t="s">
        <v>20</v>
      </c>
      <c r="G268" t="s">
        <v>20</v>
      </c>
      <c r="H268" t="s">
        <v>173</v>
      </c>
      <c r="I268" t="s">
        <v>174</v>
      </c>
      <c r="J268">
        <v>0</v>
      </c>
      <c r="K268" t="s">
        <v>20</v>
      </c>
      <c r="L268">
        <v>0</v>
      </c>
      <c r="M268">
        <v>7</v>
      </c>
      <c r="N268" t="s">
        <v>307</v>
      </c>
      <c r="O268" t="s">
        <v>138</v>
      </c>
      <c r="P268" t="str">
        <f>INDEX(Teams!$B:$B,MATCH(E268,Teams!$A:$A,0))</f>
        <v>Mumbai Indians</v>
      </c>
      <c r="Q268" t="str">
        <f>INDEX(Teams!$B:$B,MATCH(F268,Teams!$A:$A,0))</f>
        <v>Delhi Capitals</v>
      </c>
      <c r="R268" t="str">
        <f>INDEX(Teams!$B:$B,MATCH(G268,Teams!$A:$A,0))</f>
        <v>Delhi Capitals</v>
      </c>
      <c r="S268" t="str">
        <f>IF(K268="","No result",INDEX(Teams!$B:$B,MATCH(K268,Teams!$A:$A,0)))</f>
        <v>Delhi Capitals</v>
      </c>
      <c r="T268" t="str">
        <f>INDEX(Venues!$B:$B,MATCH(O268,Venues!$A:$A,0))</f>
        <v>Wankhede Stadium</v>
      </c>
      <c r="U268" t="str">
        <f>INDEX(Venues!$C:$C,MATCH(O268,Venues!$A:$A,0))</f>
        <v>Mumbai</v>
      </c>
      <c r="V268" t="str">
        <f>IF(L268&gt;0,L268&amp;" runs",IF(M268&gt;0,M268&amp;" wickets","-"))</f>
        <v>7 wickets</v>
      </c>
      <c r="W268">
        <f>IF(G268=K268,1,0)</f>
        <v>1</v>
      </c>
      <c r="X268">
        <f>IF(L268&gt;0,L268,"")</f>
        <v/>
      </c>
      <c r="Y268">
        <f>IF(X268="","",IF(X268&gt;Stats!$B$15,"Outlier",""))</f>
        <v/>
      </c>
      <c r="Z268" t="str">
        <f>P268&amp;" vs "&amp;Q268</f>
        <v>Mumbai Indians vs Delhi Capitals</v>
      </c>
    </row>
    <row r="269" spans="1:26" x14ac:dyDescent="0.25">
      <c r="A269">
        <v>328</v>
      </c>
      <c r="B269">
        <v>2012</v>
      </c>
      <c r="C269" s="5">
        <v>41016</v>
      </c>
      <c r="D269" t="s">
        <v>172</v>
      </c>
      <c r="E269" t="s">
        <v>16</v>
      </c>
      <c r="F269" t="s">
        <v>41</v>
      </c>
      <c r="G269" t="s">
        <v>16</v>
      </c>
      <c r="H269" t="s">
        <v>176</v>
      </c>
      <c r="I269" t="s">
        <v>174</v>
      </c>
      <c r="J269">
        <v>0</v>
      </c>
      <c r="K269" t="s">
        <v>41</v>
      </c>
      <c r="L269">
        <v>0</v>
      </c>
      <c r="M269">
        <v>5</v>
      </c>
      <c r="N269" t="s">
        <v>244</v>
      </c>
      <c r="O269" t="s">
        <v>118</v>
      </c>
      <c r="P269" t="str">
        <f>INDEX(Teams!$B:$B,MATCH(E269,Teams!$A:$A,0))</f>
        <v>Deccan Chargers</v>
      </c>
      <c r="Q269" t="str">
        <f>INDEX(Teams!$B:$B,MATCH(F269,Teams!$A:$A,0))</f>
        <v>Rajasthan Royals</v>
      </c>
      <c r="R269" t="str">
        <f>INDEX(Teams!$B:$B,MATCH(G269,Teams!$A:$A,0))</f>
        <v>Deccan Chargers</v>
      </c>
      <c r="S269" t="str">
        <f>IF(K269="","No result",INDEX(Teams!$B:$B,MATCH(K269,Teams!$A:$A,0)))</f>
        <v>Rajasthan Royals</v>
      </c>
      <c r="T269" t="str">
        <f>INDEX(Venues!$B:$B,MATCH(O269,Venues!$A:$A,0))</f>
        <v>Sawai Mansingh Stadium</v>
      </c>
      <c r="U269" t="str">
        <f>INDEX(Venues!$C:$C,MATCH(O269,Venues!$A:$A,0))</f>
        <v>Jaipur</v>
      </c>
      <c r="V269" t="str">
        <f>IF(L269&gt;0,L269&amp;" runs",IF(M269&gt;0,M269&amp;" wickets","-"))</f>
        <v>5 wickets</v>
      </c>
      <c r="W269">
        <f>IF(G269=K269,1,0)</f>
        <v>0</v>
      </c>
      <c r="X269">
        <f>IF(L269&gt;0,L269,"")</f>
        <v/>
      </c>
      <c r="Y269">
        <f>IF(X269="","",IF(X269&gt;Stats!$B$15,"Outlier",""))</f>
        <v/>
      </c>
      <c r="Z269" t="str">
        <f>P269&amp;" vs "&amp;Q269</f>
        <v>Deccan Chargers vs Rajasthan Royals</v>
      </c>
    </row>
    <row r="270" spans="1:26" x14ac:dyDescent="0.25">
      <c r="A270">
        <v>329</v>
      </c>
      <c r="B270">
        <v>2012</v>
      </c>
      <c r="C270" s="5">
        <v>41016</v>
      </c>
      <c r="D270" t="s">
        <v>172</v>
      </c>
      <c r="E270" t="s">
        <v>38</v>
      </c>
      <c r="F270" t="s">
        <v>46</v>
      </c>
      <c r="G270" t="s">
        <v>38</v>
      </c>
      <c r="H270" t="s">
        <v>176</v>
      </c>
      <c r="I270" t="s">
        <v>174</v>
      </c>
      <c r="J270">
        <v>0</v>
      </c>
      <c r="K270" t="s">
        <v>46</v>
      </c>
      <c r="L270">
        <v>0</v>
      </c>
      <c r="M270">
        <v>6</v>
      </c>
      <c r="N270" t="s">
        <v>222</v>
      </c>
      <c r="O270" t="s">
        <v>92</v>
      </c>
      <c r="P270" t="str">
        <f>INDEX(Teams!$B:$B,MATCH(E270,Teams!$A:$A,0))</f>
        <v>Pune Warriors</v>
      </c>
      <c r="Q270" t="str">
        <f>INDEX(Teams!$B:$B,MATCH(F270,Teams!$A:$A,0))</f>
        <v>Royal Challengers Bangalore</v>
      </c>
      <c r="R270" t="str">
        <f>INDEX(Teams!$B:$B,MATCH(G270,Teams!$A:$A,0))</f>
        <v>Pune Warriors</v>
      </c>
      <c r="S270" t="str">
        <f>IF(K270="","No result",INDEX(Teams!$B:$B,MATCH(K270,Teams!$A:$A,0)))</f>
        <v>Royal Challengers Bangalore</v>
      </c>
      <c r="T270" t="str">
        <f>INDEX(Venues!$B:$B,MATCH(O270,Venues!$A:$A,0))</f>
        <v>M Chinnaswamy Stadium</v>
      </c>
      <c r="U270" t="str">
        <f>INDEX(Venues!$C:$C,MATCH(O270,Venues!$A:$A,0))</f>
        <v>Bangalore</v>
      </c>
      <c r="V270" t="str">
        <f>IF(L270&gt;0,L270&amp;" runs",IF(M270&gt;0,M270&amp;" wickets","-"))</f>
        <v>6 wickets</v>
      </c>
      <c r="W270">
        <f>IF(G270=K270,1,0)</f>
        <v>0</v>
      </c>
      <c r="X270">
        <f>IF(L270&gt;0,L270,"")</f>
        <v/>
      </c>
      <c r="Y270">
        <f>IF(X270="","",IF(X270&gt;Stats!$B$15,"Outlier",""))</f>
        <v/>
      </c>
      <c r="Z270" t="str">
        <f>P270&amp;" vs "&amp;Q270</f>
        <v>Pune Warriors vs Royal Challengers Bangalore</v>
      </c>
    </row>
    <row r="271" spans="1:26" x14ac:dyDescent="0.25">
      <c r="A271">
        <v>330</v>
      </c>
      <c r="B271">
        <v>2012</v>
      </c>
      <c r="C271" s="5">
        <v>41017</v>
      </c>
      <c r="D271" t="s">
        <v>172</v>
      </c>
      <c r="E271" t="s">
        <v>26</v>
      </c>
      <c r="F271" t="s">
        <v>32</v>
      </c>
      <c r="G271" t="s">
        <v>26</v>
      </c>
      <c r="H271" t="s">
        <v>176</v>
      </c>
      <c r="I271" t="s">
        <v>174</v>
      </c>
      <c r="J271">
        <v>0</v>
      </c>
      <c r="K271" t="s">
        <v>32</v>
      </c>
      <c r="L271">
        <v>0</v>
      </c>
      <c r="M271">
        <v>8</v>
      </c>
      <c r="N271" t="s">
        <v>234</v>
      </c>
      <c r="O271" t="s">
        <v>109</v>
      </c>
      <c r="P271" t="str">
        <f>INDEX(Teams!$B:$B,MATCH(E271,Teams!$A:$A,0))</f>
        <v>Kings XI Punjab</v>
      </c>
      <c r="Q271" t="str">
        <f>INDEX(Teams!$B:$B,MATCH(F271,Teams!$A:$A,0))</f>
        <v>Kolkata Knight Riders</v>
      </c>
      <c r="R271" t="str">
        <f>INDEX(Teams!$B:$B,MATCH(G271,Teams!$A:$A,0))</f>
        <v>Kings XI Punjab</v>
      </c>
      <c r="S271" t="str">
        <f>IF(K271="","No result",INDEX(Teams!$B:$B,MATCH(K271,Teams!$A:$A,0)))</f>
        <v>Kolkata Knight Riders</v>
      </c>
      <c r="T271" t="str">
        <f>INDEX(Venues!$B:$B,MATCH(O271,Venues!$A:$A,0))</f>
        <v>Punjab Cricket Association IS Bindra Stadium</v>
      </c>
      <c r="U271" t="str">
        <f>INDEX(Venues!$C:$C,MATCH(O271,Venues!$A:$A,0))</f>
        <v>Chandigarh</v>
      </c>
      <c r="V271" t="str">
        <f>IF(L271&gt;0,L271&amp;" runs",IF(M271&gt;0,M271&amp;" wickets","-"))</f>
        <v>8 wickets</v>
      </c>
      <c r="W271">
        <f>IF(G271=K271,1,0)</f>
        <v>0</v>
      </c>
      <c r="X271">
        <f>IF(L271&gt;0,L271,"")</f>
        <v/>
      </c>
      <c r="Y271">
        <f>IF(X271="","",IF(X271&gt;Stats!$B$15,"Outlier",""))</f>
        <v/>
      </c>
      <c r="Z271" t="str">
        <f>P271&amp;" vs "&amp;Q271</f>
        <v>Kings XI Punjab vs Kolkata Knight Riders</v>
      </c>
    </row>
    <row r="272" spans="1:26" x14ac:dyDescent="0.25">
      <c r="A272">
        <v>323</v>
      </c>
      <c r="B272">
        <v>2012</v>
      </c>
      <c r="C272" s="5">
        <v>41018</v>
      </c>
      <c r="D272" t="s">
        <v>172</v>
      </c>
      <c r="E272" t="s">
        <v>16</v>
      </c>
      <c r="F272" t="s">
        <v>20</v>
      </c>
      <c r="G272" t="s">
        <v>16</v>
      </c>
      <c r="H272" t="s">
        <v>176</v>
      </c>
      <c r="I272" t="s">
        <v>174</v>
      </c>
      <c r="J272">
        <v>0</v>
      </c>
      <c r="K272" t="s">
        <v>20</v>
      </c>
      <c r="L272">
        <v>0</v>
      </c>
      <c r="M272">
        <v>5</v>
      </c>
      <c r="N272" t="s">
        <v>260</v>
      </c>
      <c r="O272" t="s">
        <v>75</v>
      </c>
      <c r="P272" t="str">
        <f>INDEX(Teams!$B:$B,MATCH(E272,Teams!$A:$A,0))</f>
        <v>Deccan Chargers</v>
      </c>
      <c r="Q272" t="str">
        <f>INDEX(Teams!$B:$B,MATCH(F272,Teams!$A:$A,0))</f>
        <v>Delhi Capitals</v>
      </c>
      <c r="R272" t="str">
        <f>INDEX(Teams!$B:$B,MATCH(G272,Teams!$A:$A,0))</f>
        <v>Deccan Chargers</v>
      </c>
      <c r="S272" t="str">
        <f>IF(K272="","No result",INDEX(Teams!$B:$B,MATCH(K272,Teams!$A:$A,0)))</f>
        <v>Delhi Capitals</v>
      </c>
      <c r="T272" t="str">
        <f>INDEX(Venues!$B:$B,MATCH(O272,Venues!$A:$A,0))</f>
        <v>Feroz Shah Kotla</v>
      </c>
      <c r="U272" t="str">
        <f>INDEX(Venues!$C:$C,MATCH(O272,Venues!$A:$A,0))</f>
        <v>Delhi</v>
      </c>
      <c r="V272" t="str">
        <f>IF(L272&gt;0,L272&amp;" runs",IF(M272&gt;0,M272&amp;" wickets","-"))</f>
        <v>5 wickets</v>
      </c>
      <c r="W272">
        <f>IF(G272=K272,1,0)</f>
        <v>0</v>
      </c>
      <c r="X272">
        <f>IF(L272&gt;0,L272,"")</f>
        <v/>
      </c>
      <c r="Y272">
        <f>IF(X272="","",IF(X272&gt;Stats!$B$15,"Outlier",""))</f>
        <v/>
      </c>
      <c r="Z272" t="str">
        <f>P272&amp;" vs "&amp;Q272</f>
        <v>Deccan Chargers vs Delhi Capitals</v>
      </c>
    </row>
    <row r="273" spans="1:26" x14ac:dyDescent="0.25">
      <c r="A273">
        <v>332</v>
      </c>
      <c r="B273">
        <v>2012</v>
      </c>
      <c r="C273" s="5">
        <v>41018</v>
      </c>
      <c r="D273" t="s">
        <v>172</v>
      </c>
      <c r="E273" t="s">
        <v>12</v>
      </c>
      <c r="F273" t="s">
        <v>38</v>
      </c>
      <c r="G273" t="s">
        <v>38</v>
      </c>
      <c r="H273" t="s">
        <v>173</v>
      </c>
      <c r="I273" t="s">
        <v>174</v>
      </c>
      <c r="J273">
        <v>0</v>
      </c>
      <c r="K273" t="s">
        <v>12</v>
      </c>
      <c r="L273">
        <v>13</v>
      </c>
      <c r="M273">
        <v>0</v>
      </c>
      <c r="N273" t="s">
        <v>308</v>
      </c>
      <c r="O273" t="s">
        <v>94</v>
      </c>
      <c r="P273" t="str">
        <f>INDEX(Teams!$B:$B,MATCH(E273,Teams!$A:$A,0))</f>
        <v>Chennai Super Kings</v>
      </c>
      <c r="Q273" t="str">
        <f>INDEX(Teams!$B:$B,MATCH(F273,Teams!$A:$A,0))</f>
        <v>Pune Warriors</v>
      </c>
      <c r="R273" t="str">
        <f>INDEX(Teams!$B:$B,MATCH(G273,Teams!$A:$A,0))</f>
        <v>Pune Warriors</v>
      </c>
      <c r="S273" t="str">
        <f>IF(K273="","No result",INDEX(Teams!$B:$B,MATCH(K273,Teams!$A:$A,0)))</f>
        <v>Chennai Super Kings</v>
      </c>
      <c r="T273" t="str">
        <f>INDEX(Venues!$B:$B,MATCH(O273,Venues!$A:$A,0))</f>
        <v>MA Chidambaram Stadium</v>
      </c>
      <c r="U273" t="str">
        <f>INDEX(Venues!$C:$C,MATCH(O273,Venues!$A:$A,0))</f>
        <v>Chennai</v>
      </c>
      <c r="V273" t="str">
        <f>IF(L273&gt;0,L273&amp;" runs",IF(M273&gt;0,M273&amp;" wickets","-"))</f>
        <v>13 runs</v>
      </c>
      <c r="W273">
        <f>IF(G273=K273,1,0)</f>
        <v>0</v>
      </c>
      <c r="X273">
        <f>IF(L273&gt;0,L273,"")</f>
        <v>13</v>
      </c>
      <c r="Y273">
        <f>IF(X273="","",IF(X273&gt;Stats!$B$15,"Outlier",""))</f>
        <v/>
      </c>
      <c r="Z273" t="str">
        <f>P273&amp;" vs "&amp;Q273</f>
        <v>Chennai Super Kings vs Pune Warriors</v>
      </c>
    </row>
    <row r="274" spans="1:26" x14ac:dyDescent="0.25">
      <c r="A274">
        <v>333</v>
      </c>
      <c r="B274">
        <v>2012</v>
      </c>
      <c r="C274" s="5">
        <v>41019</v>
      </c>
      <c r="D274" t="s">
        <v>172</v>
      </c>
      <c r="E274" t="s">
        <v>26</v>
      </c>
      <c r="F274" t="s">
        <v>46</v>
      </c>
      <c r="G274" t="s">
        <v>46</v>
      </c>
      <c r="H274" t="s">
        <v>173</v>
      </c>
      <c r="I274" t="s">
        <v>174</v>
      </c>
      <c r="J274">
        <v>0</v>
      </c>
      <c r="K274" t="s">
        <v>46</v>
      </c>
      <c r="L274">
        <v>0</v>
      </c>
      <c r="M274">
        <v>5</v>
      </c>
      <c r="N274" t="s">
        <v>222</v>
      </c>
      <c r="O274" t="s">
        <v>109</v>
      </c>
      <c r="P274" t="str">
        <f>INDEX(Teams!$B:$B,MATCH(E274,Teams!$A:$A,0))</f>
        <v>Kings XI Punjab</v>
      </c>
      <c r="Q274" t="str">
        <f>INDEX(Teams!$B:$B,MATCH(F274,Teams!$A:$A,0))</f>
        <v>Royal Challengers Bangalore</v>
      </c>
      <c r="R274" t="str">
        <f>INDEX(Teams!$B:$B,MATCH(G274,Teams!$A:$A,0))</f>
        <v>Royal Challengers Bangalore</v>
      </c>
      <c r="S274" t="str">
        <f>IF(K274="","No result",INDEX(Teams!$B:$B,MATCH(K274,Teams!$A:$A,0)))</f>
        <v>Royal Challengers Bangalore</v>
      </c>
      <c r="T274" t="str">
        <f>INDEX(Venues!$B:$B,MATCH(O274,Venues!$A:$A,0))</f>
        <v>Punjab Cricket Association IS Bindra Stadium</v>
      </c>
      <c r="U274" t="str">
        <f>INDEX(Venues!$C:$C,MATCH(O274,Venues!$A:$A,0))</f>
        <v>Chandigarh</v>
      </c>
      <c r="V274" t="str">
        <f>IF(L274&gt;0,L274&amp;" runs",IF(M274&gt;0,M274&amp;" wickets","-"))</f>
        <v>5 wickets</v>
      </c>
      <c r="W274">
        <f>IF(G274=K274,1,0)</f>
        <v>1</v>
      </c>
      <c r="X274">
        <f>IF(L274&gt;0,L274,"")</f>
        <v/>
      </c>
      <c r="Y274">
        <f>IF(X274="","",IF(X274&gt;Stats!$B$15,"Outlier",""))</f>
        <v/>
      </c>
      <c r="Z274" t="str">
        <f>P274&amp;" vs "&amp;Q274</f>
        <v>Kings XI Punjab vs Royal Challengers Bangalore</v>
      </c>
    </row>
    <row r="275" spans="1:26" x14ac:dyDescent="0.25">
      <c r="A275">
        <v>334</v>
      </c>
      <c r="B275">
        <v>2012</v>
      </c>
      <c r="C275" s="5">
        <v>41020</v>
      </c>
      <c r="D275" t="s">
        <v>172</v>
      </c>
      <c r="E275" t="s">
        <v>41</v>
      </c>
      <c r="F275" t="s">
        <v>12</v>
      </c>
      <c r="G275" t="s">
        <v>41</v>
      </c>
      <c r="H275" t="s">
        <v>176</v>
      </c>
      <c r="I275" t="s">
        <v>174</v>
      </c>
      <c r="J275">
        <v>0</v>
      </c>
      <c r="K275" t="s">
        <v>12</v>
      </c>
      <c r="L275">
        <v>0</v>
      </c>
      <c r="M275">
        <v>7</v>
      </c>
      <c r="N275" t="s">
        <v>302</v>
      </c>
      <c r="O275" t="s">
        <v>94</v>
      </c>
      <c r="P275" t="str">
        <f>INDEX(Teams!$B:$B,MATCH(E275,Teams!$A:$A,0))</f>
        <v>Rajasthan Royals</v>
      </c>
      <c r="Q275" t="str">
        <f>INDEX(Teams!$B:$B,MATCH(F275,Teams!$A:$A,0))</f>
        <v>Chennai Super Kings</v>
      </c>
      <c r="R275" t="str">
        <f>INDEX(Teams!$B:$B,MATCH(G275,Teams!$A:$A,0))</f>
        <v>Rajasthan Royals</v>
      </c>
      <c r="S275" t="str">
        <f>IF(K275="","No result",INDEX(Teams!$B:$B,MATCH(K275,Teams!$A:$A,0)))</f>
        <v>Chennai Super Kings</v>
      </c>
      <c r="T275" t="str">
        <f>INDEX(Venues!$B:$B,MATCH(O275,Venues!$A:$A,0))</f>
        <v>MA Chidambaram Stadium</v>
      </c>
      <c r="U275" t="str">
        <f>INDEX(Venues!$C:$C,MATCH(O275,Venues!$A:$A,0))</f>
        <v>Chennai</v>
      </c>
      <c r="V275" t="str">
        <f>IF(L275&gt;0,L275&amp;" runs",IF(M275&gt;0,M275&amp;" wickets","-"))</f>
        <v>7 wickets</v>
      </c>
      <c r="W275">
        <f>IF(G275=K275,1,0)</f>
        <v>0</v>
      </c>
      <c r="X275">
        <f>IF(L275&gt;0,L275,"")</f>
        <v/>
      </c>
      <c r="Y275">
        <f>IF(X275="","",IF(X275&gt;Stats!$B$15,"Outlier",""))</f>
        <v/>
      </c>
      <c r="Z275" t="str">
        <f>P275&amp;" vs "&amp;Q275</f>
        <v>Rajasthan Royals vs Chennai Super Kings</v>
      </c>
    </row>
    <row r="276" spans="1:26" x14ac:dyDescent="0.25">
      <c r="A276">
        <v>335</v>
      </c>
      <c r="B276">
        <v>2012</v>
      </c>
      <c r="C276" s="5">
        <v>41020</v>
      </c>
      <c r="D276" t="s">
        <v>172</v>
      </c>
      <c r="E276" t="s">
        <v>38</v>
      </c>
      <c r="F276" t="s">
        <v>20</v>
      </c>
      <c r="G276" t="s">
        <v>20</v>
      </c>
      <c r="H276" t="s">
        <v>173</v>
      </c>
      <c r="I276" t="s">
        <v>174</v>
      </c>
      <c r="J276">
        <v>0</v>
      </c>
      <c r="K276" t="s">
        <v>38</v>
      </c>
      <c r="L276">
        <v>20</v>
      </c>
      <c r="M276">
        <v>0</v>
      </c>
      <c r="N276" t="s">
        <v>200</v>
      </c>
      <c r="O276" t="s">
        <v>75</v>
      </c>
      <c r="P276" t="str">
        <f>INDEX(Teams!$B:$B,MATCH(E276,Teams!$A:$A,0))</f>
        <v>Pune Warriors</v>
      </c>
      <c r="Q276" t="str">
        <f>INDEX(Teams!$B:$B,MATCH(F276,Teams!$A:$A,0))</f>
        <v>Delhi Capitals</v>
      </c>
      <c r="R276" t="str">
        <f>INDEX(Teams!$B:$B,MATCH(G276,Teams!$A:$A,0))</f>
        <v>Delhi Capitals</v>
      </c>
      <c r="S276" t="str">
        <f>IF(K276="","No result",INDEX(Teams!$B:$B,MATCH(K276,Teams!$A:$A,0)))</f>
        <v>Pune Warriors</v>
      </c>
      <c r="T276" t="str">
        <f>INDEX(Venues!$B:$B,MATCH(O276,Venues!$A:$A,0))</f>
        <v>Feroz Shah Kotla</v>
      </c>
      <c r="U276" t="str">
        <f>INDEX(Venues!$C:$C,MATCH(O276,Venues!$A:$A,0))</f>
        <v>Delhi</v>
      </c>
      <c r="V276" t="str">
        <f>IF(L276&gt;0,L276&amp;" runs",IF(M276&gt;0,M276&amp;" wickets","-"))</f>
        <v>20 runs</v>
      </c>
      <c r="W276">
        <f>IF(G276=K276,1,0)</f>
        <v>0</v>
      </c>
      <c r="X276">
        <f>IF(L276&gt;0,L276,"")</f>
        <v>20</v>
      </c>
      <c r="Y276">
        <f>IF(X276="","",IF(X276&gt;Stats!$B$15,"Outlier",""))</f>
        <v/>
      </c>
      <c r="Z276" t="str">
        <f>P276&amp;" vs "&amp;Q276</f>
        <v>Pune Warriors vs Delhi Capitals</v>
      </c>
    </row>
    <row r="277" spans="1:26" x14ac:dyDescent="0.25">
      <c r="A277">
        <v>336</v>
      </c>
      <c r="B277">
        <v>2012</v>
      </c>
      <c r="C277" s="5">
        <v>41021</v>
      </c>
      <c r="D277" t="s">
        <v>172</v>
      </c>
      <c r="E277" t="s">
        <v>35</v>
      </c>
      <c r="F277" t="s">
        <v>26</v>
      </c>
      <c r="G277" t="s">
        <v>35</v>
      </c>
      <c r="H277" t="s">
        <v>176</v>
      </c>
      <c r="I277" t="s">
        <v>174</v>
      </c>
      <c r="J277">
        <v>0</v>
      </c>
      <c r="K277" t="s">
        <v>26</v>
      </c>
      <c r="L277">
        <v>0</v>
      </c>
      <c r="M277">
        <v>6</v>
      </c>
      <c r="N277" t="s">
        <v>192</v>
      </c>
      <c r="O277" t="s">
        <v>138</v>
      </c>
      <c r="P277" t="str">
        <f>INDEX(Teams!$B:$B,MATCH(E277,Teams!$A:$A,0))</f>
        <v>Mumbai Indians</v>
      </c>
      <c r="Q277" t="str">
        <f>INDEX(Teams!$B:$B,MATCH(F277,Teams!$A:$A,0))</f>
        <v>Kings XI Punjab</v>
      </c>
      <c r="R277" t="str">
        <f>INDEX(Teams!$B:$B,MATCH(G277,Teams!$A:$A,0))</f>
        <v>Mumbai Indians</v>
      </c>
      <c r="S277" t="str">
        <f>IF(K277="","No result",INDEX(Teams!$B:$B,MATCH(K277,Teams!$A:$A,0)))</f>
        <v>Kings XI Punjab</v>
      </c>
      <c r="T277" t="str">
        <f>INDEX(Venues!$B:$B,MATCH(O277,Venues!$A:$A,0))</f>
        <v>Wankhede Stadium</v>
      </c>
      <c r="U277" t="str">
        <f>INDEX(Venues!$C:$C,MATCH(O277,Venues!$A:$A,0))</f>
        <v>Mumbai</v>
      </c>
      <c r="V277" t="str">
        <f>IF(L277&gt;0,L277&amp;" runs",IF(M277&gt;0,M277&amp;" wickets","-"))</f>
        <v>6 wickets</v>
      </c>
      <c r="W277">
        <f>IF(G277=K277,1,0)</f>
        <v>0</v>
      </c>
      <c r="X277">
        <f>IF(L277&gt;0,L277,"")</f>
        <v/>
      </c>
      <c r="Y277">
        <f>IF(X277="","",IF(X277&gt;Stats!$B$15,"Outlier",""))</f>
        <v/>
      </c>
      <c r="Z277" t="str">
        <f>P277&amp;" vs "&amp;Q277</f>
        <v>Mumbai Indians vs Kings XI Punjab</v>
      </c>
    </row>
    <row r="278" spans="1:26" x14ac:dyDescent="0.25">
      <c r="A278">
        <v>337</v>
      </c>
      <c r="B278">
        <v>2012</v>
      </c>
      <c r="C278" s="5">
        <v>41021</v>
      </c>
      <c r="D278" t="s">
        <v>172</v>
      </c>
      <c r="E278" t="s">
        <v>16</v>
      </c>
      <c r="F278" t="s">
        <v>32</v>
      </c>
      <c r="G278" t="s">
        <v>32</v>
      </c>
      <c r="H278" t="s">
        <v>173</v>
      </c>
      <c r="I278" t="s">
        <v>174</v>
      </c>
      <c r="J278">
        <v>0</v>
      </c>
      <c r="K278" t="s">
        <v>32</v>
      </c>
      <c r="L278">
        <v>0</v>
      </c>
      <c r="M278">
        <v>5</v>
      </c>
      <c r="N278" t="s">
        <v>243</v>
      </c>
      <c r="O278" t="s">
        <v>54</v>
      </c>
      <c r="P278" t="str">
        <f>INDEX(Teams!$B:$B,MATCH(E278,Teams!$A:$A,0))</f>
        <v>Deccan Chargers</v>
      </c>
      <c r="Q278" t="str">
        <f>INDEX(Teams!$B:$B,MATCH(F278,Teams!$A:$A,0))</f>
        <v>Kolkata Knight Riders</v>
      </c>
      <c r="R278" t="str">
        <f>INDEX(Teams!$B:$B,MATCH(G278,Teams!$A:$A,0))</f>
        <v>Kolkata Knight Riders</v>
      </c>
      <c r="S278" t="str">
        <f>IF(K278="","No result",INDEX(Teams!$B:$B,MATCH(K278,Teams!$A:$A,0)))</f>
        <v>Kolkata Knight Riders</v>
      </c>
      <c r="T278" t="str">
        <f>INDEX(Venues!$B:$B,MATCH(O278,Venues!$A:$A,0))</f>
        <v>Barabati Stadium</v>
      </c>
      <c r="U278" t="str">
        <f>INDEX(Venues!$C:$C,MATCH(O278,Venues!$A:$A,0))</f>
        <v>Cuttack</v>
      </c>
      <c r="V278" t="str">
        <f>IF(L278&gt;0,L278&amp;" runs",IF(M278&gt;0,M278&amp;" wickets","-"))</f>
        <v>5 wickets</v>
      </c>
      <c r="W278">
        <f>IF(G278=K278,1,0)</f>
        <v>1</v>
      </c>
      <c r="X278">
        <f>IF(L278&gt;0,L278,"")</f>
        <v/>
      </c>
      <c r="Y278">
        <f>IF(X278="","",IF(X278&gt;Stats!$B$15,"Outlier",""))</f>
        <v/>
      </c>
      <c r="Z278" t="str">
        <f>P278&amp;" vs "&amp;Q278</f>
        <v>Deccan Chargers vs Kolkata Knight Riders</v>
      </c>
    </row>
    <row r="279" spans="1:26" x14ac:dyDescent="0.25">
      <c r="A279">
        <v>338</v>
      </c>
      <c r="B279">
        <v>2012</v>
      </c>
      <c r="C279" s="5">
        <v>41022</v>
      </c>
      <c r="D279" t="s">
        <v>172</v>
      </c>
      <c r="E279" t="s">
        <v>46</v>
      </c>
      <c r="F279" t="s">
        <v>41</v>
      </c>
      <c r="G279" t="s">
        <v>41</v>
      </c>
      <c r="H279" t="s">
        <v>173</v>
      </c>
      <c r="I279" t="s">
        <v>174</v>
      </c>
      <c r="J279">
        <v>0</v>
      </c>
      <c r="K279" t="s">
        <v>46</v>
      </c>
      <c r="L279">
        <v>46</v>
      </c>
      <c r="M279">
        <v>0</v>
      </c>
      <c r="N279" t="s">
        <v>223</v>
      </c>
      <c r="O279" t="s">
        <v>118</v>
      </c>
      <c r="P279" t="str">
        <f>INDEX(Teams!$B:$B,MATCH(E279,Teams!$A:$A,0))</f>
        <v>Royal Challengers Bangalore</v>
      </c>
      <c r="Q279" t="str">
        <f>INDEX(Teams!$B:$B,MATCH(F279,Teams!$A:$A,0))</f>
        <v>Rajasthan Royals</v>
      </c>
      <c r="R279" t="str">
        <f>INDEX(Teams!$B:$B,MATCH(G279,Teams!$A:$A,0))</f>
        <v>Rajasthan Royals</v>
      </c>
      <c r="S279" t="str">
        <f>IF(K279="","No result",INDEX(Teams!$B:$B,MATCH(K279,Teams!$A:$A,0)))</f>
        <v>Royal Challengers Bangalore</v>
      </c>
      <c r="T279" t="str">
        <f>INDEX(Venues!$B:$B,MATCH(O279,Venues!$A:$A,0))</f>
        <v>Sawai Mansingh Stadium</v>
      </c>
      <c r="U279" t="str">
        <f>INDEX(Venues!$C:$C,MATCH(O279,Venues!$A:$A,0))</f>
        <v>Jaipur</v>
      </c>
      <c r="V279" t="str">
        <f>IF(L279&gt;0,L279&amp;" runs",IF(M279&gt;0,M279&amp;" wickets","-"))</f>
        <v>46 runs</v>
      </c>
      <c r="W279">
        <f>IF(G279=K279,1,0)</f>
        <v>0</v>
      </c>
      <c r="X279">
        <f>IF(L279&gt;0,L279,"")</f>
        <v>46</v>
      </c>
      <c r="Y279">
        <f>IF(X279="","",IF(X279&gt;Stats!$B$15,"Outlier",""))</f>
        <v/>
      </c>
      <c r="Z279" t="str">
        <f>P279&amp;" vs "&amp;Q279</f>
        <v>Royal Challengers Bangalore vs Rajasthan Royals</v>
      </c>
    </row>
    <row r="280" spans="1:26" x14ac:dyDescent="0.25">
      <c r="A280">
        <v>339</v>
      </c>
      <c r="B280">
        <v>2012</v>
      </c>
      <c r="C280" s="5">
        <v>41023</v>
      </c>
      <c r="D280" t="s">
        <v>172</v>
      </c>
      <c r="E280" t="s">
        <v>38</v>
      </c>
      <c r="F280" t="s">
        <v>20</v>
      </c>
      <c r="G280" t="s">
        <v>38</v>
      </c>
      <c r="H280" t="s">
        <v>176</v>
      </c>
      <c r="I280" t="s">
        <v>174</v>
      </c>
      <c r="J280">
        <v>0</v>
      </c>
      <c r="K280" t="s">
        <v>20</v>
      </c>
      <c r="L280">
        <v>0</v>
      </c>
      <c r="M280">
        <v>8</v>
      </c>
      <c r="N280" t="s">
        <v>182</v>
      </c>
      <c r="O280" t="s">
        <v>96</v>
      </c>
      <c r="P280" t="str">
        <f>INDEX(Teams!$B:$B,MATCH(E280,Teams!$A:$A,0))</f>
        <v>Pune Warriors</v>
      </c>
      <c r="Q280" t="str">
        <f>INDEX(Teams!$B:$B,MATCH(F280,Teams!$A:$A,0))</f>
        <v>Delhi Capitals</v>
      </c>
      <c r="R280" t="str">
        <f>INDEX(Teams!$B:$B,MATCH(G280,Teams!$A:$A,0))</f>
        <v>Pune Warriors</v>
      </c>
      <c r="S280" t="str">
        <f>IF(K280="","No result",INDEX(Teams!$B:$B,MATCH(K280,Teams!$A:$A,0)))</f>
        <v>Delhi Capitals</v>
      </c>
      <c r="T280" t="str">
        <f>INDEX(Venues!$B:$B,MATCH(O280,Venues!$A:$A,0))</f>
        <v>Maharashtra Cricket Association Stadium</v>
      </c>
      <c r="U280" t="str">
        <f>INDEX(Venues!$C:$C,MATCH(O280,Venues!$A:$A,0))</f>
        <v>Pune</v>
      </c>
      <c r="V280" t="str">
        <f>IF(L280&gt;0,L280&amp;" runs",IF(M280&gt;0,M280&amp;" wickets","-"))</f>
        <v>8 wickets</v>
      </c>
      <c r="W280">
        <f>IF(G280=K280,1,0)</f>
        <v>0</v>
      </c>
      <c r="X280">
        <f>IF(L280&gt;0,L280,"")</f>
        <v/>
      </c>
      <c r="Y280">
        <f>IF(X280="","",IF(X280&gt;Stats!$B$15,"Outlier",""))</f>
        <v/>
      </c>
      <c r="Z280" t="str">
        <f>P280&amp;" vs "&amp;Q280</f>
        <v>Pune Warriors vs Delhi Capitals</v>
      </c>
    </row>
    <row r="281" spans="1:26" x14ac:dyDescent="0.25">
      <c r="A281">
        <v>340</v>
      </c>
      <c r="B281">
        <v>2012</v>
      </c>
      <c r="C281" s="5">
        <v>41024</v>
      </c>
      <c r="D281" t="s">
        <v>172</v>
      </c>
      <c r="E281" t="s">
        <v>26</v>
      </c>
      <c r="F281" t="s">
        <v>35</v>
      </c>
      <c r="G281" t="s">
        <v>26</v>
      </c>
      <c r="H281" t="s">
        <v>176</v>
      </c>
      <c r="I281" t="s">
        <v>174</v>
      </c>
      <c r="J281">
        <v>0</v>
      </c>
      <c r="K281" t="s">
        <v>35</v>
      </c>
      <c r="L281">
        <v>0</v>
      </c>
      <c r="M281">
        <v>4</v>
      </c>
      <c r="N281" t="s">
        <v>261</v>
      </c>
      <c r="O281" t="s">
        <v>109</v>
      </c>
      <c r="P281" t="str">
        <f>INDEX(Teams!$B:$B,MATCH(E281,Teams!$A:$A,0))</f>
        <v>Kings XI Punjab</v>
      </c>
      <c r="Q281" t="str">
        <f>INDEX(Teams!$B:$B,MATCH(F281,Teams!$A:$A,0))</f>
        <v>Mumbai Indians</v>
      </c>
      <c r="R281" t="str">
        <f>INDEX(Teams!$B:$B,MATCH(G281,Teams!$A:$A,0))</f>
        <v>Kings XI Punjab</v>
      </c>
      <c r="S281" t="str">
        <f>IF(K281="","No result",INDEX(Teams!$B:$B,MATCH(K281,Teams!$A:$A,0)))</f>
        <v>Mumbai Indians</v>
      </c>
      <c r="T281" t="str">
        <f>INDEX(Venues!$B:$B,MATCH(O281,Venues!$A:$A,0))</f>
        <v>Punjab Cricket Association IS Bindra Stadium</v>
      </c>
      <c r="U281" t="str">
        <f>INDEX(Venues!$C:$C,MATCH(O281,Venues!$A:$A,0))</f>
        <v>Chandigarh</v>
      </c>
      <c r="V281" t="str">
        <f>IF(L281&gt;0,L281&amp;" runs",IF(M281&gt;0,M281&amp;" wickets","-"))</f>
        <v>4 wickets</v>
      </c>
      <c r="W281">
        <f>IF(G281=K281,1,0)</f>
        <v>0</v>
      </c>
      <c r="X281">
        <f>IF(L281&gt;0,L281,"")</f>
        <v/>
      </c>
      <c r="Y281">
        <f>IF(X281="","",IF(X281&gt;Stats!$B$15,"Outlier",""))</f>
        <v/>
      </c>
      <c r="Z281" t="str">
        <f>P281&amp;" vs "&amp;Q281</f>
        <v>Kings XI Punjab vs Mumbai Indians</v>
      </c>
    </row>
    <row r="282" spans="1:26" x14ac:dyDescent="0.25">
      <c r="A282">
        <v>341</v>
      </c>
      <c r="B282">
        <v>2012</v>
      </c>
      <c r="C282" s="5">
        <v>41025</v>
      </c>
      <c r="D282" t="s">
        <v>172</v>
      </c>
      <c r="E282" t="s">
        <v>16</v>
      </c>
      <c r="F282" t="s">
        <v>38</v>
      </c>
      <c r="G282" t="s">
        <v>16</v>
      </c>
      <c r="H282" t="s">
        <v>176</v>
      </c>
      <c r="I282" t="s">
        <v>174</v>
      </c>
      <c r="J282">
        <v>0</v>
      </c>
      <c r="K282" t="s">
        <v>16</v>
      </c>
      <c r="L282">
        <v>18</v>
      </c>
      <c r="M282">
        <v>0</v>
      </c>
      <c r="N282" t="s">
        <v>309</v>
      </c>
      <c r="O282" t="s">
        <v>96</v>
      </c>
      <c r="P282" t="str">
        <f>INDEX(Teams!$B:$B,MATCH(E282,Teams!$A:$A,0))</f>
        <v>Deccan Chargers</v>
      </c>
      <c r="Q282" t="str">
        <f>INDEX(Teams!$B:$B,MATCH(F282,Teams!$A:$A,0))</f>
        <v>Pune Warriors</v>
      </c>
      <c r="R282" t="str">
        <f>INDEX(Teams!$B:$B,MATCH(G282,Teams!$A:$A,0))</f>
        <v>Deccan Chargers</v>
      </c>
      <c r="S282" t="str">
        <f>IF(K282="","No result",INDEX(Teams!$B:$B,MATCH(K282,Teams!$A:$A,0)))</f>
        <v>Deccan Chargers</v>
      </c>
      <c r="T282" t="str">
        <f>INDEX(Venues!$B:$B,MATCH(O282,Venues!$A:$A,0))</f>
        <v>Maharashtra Cricket Association Stadium</v>
      </c>
      <c r="U282" t="str">
        <f>INDEX(Venues!$C:$C,MATCH(O282,Venues!$A:$A,0))</f>
        <v>Pune</v>
      </c>
      <c r="V282" t="str">
        <f>IF(L282&gt;0,L282&amp;" runs",IF(M282&gt;0,M282&amp;" wickets","-"))</f>
        <v>18 runs</v>
      </c>
      <c r="W282">
        <f>IF(G282=K282,1,0)</f>
        <v>1</v>
      </c>
      <c r="X282">
        <f>IF(L282&gt;0,L282,"")</f>
        <v>18</v>
      </c>
      <c r="Y282">
        <f>IF(X282="","",IF(X282&gt;Stats!$B$15,"Outlier",""))</f>
        <v/>
      </c>
      <c r="Z282" t="str">
        <f>P282&amp;" vs "&amp;Q282</f>
        <v>Deccan Chargers vs Pune Warriors</v>
      </c>
    </row>
    <row r="283" spans="1:26" x14ac:dyDescent="0.25">
      <c r="A283">
        <v>342</v>
      </c>
      <c r="B283">
        <v>2012</v>
      </c>
      <c r="C283" s="5">
        <v>41026</v>
      </c>
      <c r="D283" t="s">
        <v>172</v>
      </c>
      <c r="E283" t="s">
        <v>20</v>
      </c>
      <c r="F283" t="s">
        <v>35</v>
      </c>
      <c r="G283" t="s">
        <v>35</v>
      </c>
      <c r="H283" t="s">
        <v>173</v>
      </c>
      <c r="I283" t="s">
        <v>174</v>
      </c>
      <c r="J283">
        <v>0</v>
      </c>
      <c r="K283" t="s">
        <v>20</v>
      </c>
      <c r="L283">
        <v>37</v>
      </c>
      <c r="M283">
        <v>0</v>
      </c>
      <c r="N283" t="s">
        <v>182</v>
      </c>
      <c r="O283" t="s">
        <v>75</v>
      </c>
      <c r="P283" t="str">
        <f>INDEX(Teams!$B:$B,MATCH(E283,Teams!$A:$A,0))</f>
        <v>Delhi Capitals</v>
      </c>
      <c r="Q283" t="str">
        <f>INDEX(Teams!$B:$B,MATCH(F283,Teams!$A:$A,0))</f>
        <v>Mumbai Indians</v>
      </c>
      <c r="R283" t="str">
        <f>INDEX(Teams!$B:$B,MATCH(G283,Teams!$A:$A,0))</f>
        <v>Mumbai Indians</v>
      </c>
      <c r="S283" t="str">
        <f>IF(K283="","No result",INDEX(Teams!$B:$B,MATCH(K283,Teams!$A:$A,0)))</f>
        <v>Delhi Capitals</v>
      </c>
      <c r="T283" t="str">
        <f>INDEX(Venues!$B:$B,MATCH(O283,Venues!$A:$A,0))</f>
        <v>Feroz Shah Kotla</v>
      </c>
      <c r="U283" t="str">
        <f>INDEX(Venues!$C:$C,MATCH(O283,Venues!$A:$A,0))</f>
        <v>Delhi</v>
      </c>
      <c r="V283" t="str">
        <f>IF(L283&gt;0,L283&amp;" runs",IF(M283&gt;0,M283&amp;" wickets","-"))</f>
        <v>37 runs</v>
      </c>
      <c r="W283">
        <f>IF(G283=K283,1,0)</f>
        <v>0</v>
      </c>
      <c r="X283">
        <f>IF(L283&gt;0,L283,"")</f>
        <v>37</v>
      </c>
      <c r="Y283">
        <f>IF(X283="","",IF(X283&gt;Stats!$B$15,"Outlier",""))</f>
        <v/>
      </c>
      <c r="Z283" t="str">
        <f>P283&amp;" vs "&amp;Q283</f>
        <v>Delhi Capitals vs Mumbai Indians</v>
      </c>
    </row>
    <row r="284" spans="1:26" x14ac:dyDescent="0.25">
      <c r="A284">
        <v>343</v>
      </c>
      <c r="B284">
        <v>2012</v>
      </c>
      <c r="C284" s="5">
        <v>41027</v>
      </c>
      <c r="D284" t="s">
        <v>172</v>
      </c>
      <c r="E284" t="s">
        <v>26</v>
      </c>
      <c r="F284" t="s">
        <v>12</v>
      </c>
      <c r="G284" t="s">
        <v>26</v>
      </c>
      <c r="H284" t="s">
        <v>176</v>
      </c>
      <c r="I284" t="s">
        <v>174</v>
      </c>
      <c r="J284">
        <v>0</v>
      </c>
      <c r="K284" t="s">
        <v>26</v>
      </c>
      <c r="L284">
        <v>7</v>
      </c>
      <c r="M284">
        <v>0</v>
      </c>
      <c r="N284" t="s">
        <v>310</v>
      </c>
      <c r="O284" t="s">
        <v>94</v>
      </c>
      <c r="P284" t="str">
        <f>INDEX(Teams!$B:$B,MATCH(E284,Teams!$A:$A,0))</f>
        <v>Kings XI Punjab</v>
      </c>
      <c r="Q284" t="str">
        <f>INDEX(Teams!$B:$B,MATCH(F284,Teams!$A:$A,0))</f>
        <v>Chennai Super Kings</v>
      </c>
      <c r="R284" t="str">
        <f>INDEX(Teams!$B:$B,MATCH(G284,Teams!$A:$A,0))</f>
        <v>Kings XI Punjab</v>
      </c>
      <c r="S284" t="str">
        <f>IF(K284="","No result",INDEX(Teams!$B:$B,MATCH(K284,Teams!$A:$A,0)))</f>
        <v>Kings XI Punjab</v>
      </c>
      <c r="T284" t="str">
        <f>INDEX(Venues!$B:$B,MATCH(O284,Venues!$A:$A,0))</f>
        <v>MA Chidambaram Stadium</v>
      </c>
      <c r="U284" t="str">
        <f>INDEX(Venues!$C:$C,MATCH(O284,Venues!$A:$A,0))</f>
        <v>Chennai</v>
      </c>
      <c r="V284" t="str">
        <f>IF(L284&gt;0,L284&amp;" runs",IF(M284&gt;0,M284&amp;" wickets","-"))</f>
        <v>7 runs</v>
      </c>
      <c r="W284">
        <f>IF(G284=K284,1,0)</f>
        <v>1</v>
      </c>
      <c r="X284">
        <f>IF(L284&gt;0,L284,"")</f>
        <v>7</v>
      </c>
      <c r="Y284">
        <f>IF(X284="","",IF(X284&gt;Stats!$B$15,"Outlier",""))</f>
        <v/>
      </c>
      <c r="Z284" t="str">
        <f>P284&amp;" vs "&amp;Q284</f>
        <v>Kings XI Punjab vs Chennai Super Kings</v>
      </c>
    </row>
    <row r="285" spans="1:26" x14ac:dyDescent="0.25">
      <c r="A285">
        <v>344</v>
      </c>
      <c r="B285">
        <v>2012</v>
      </c>
      <c r="C285" s="5">
        <v>41027</v>
      </c>
      <c r="D285" t="s">
        <v>172</v>
      </c>
      <c r="E285" t="s">
        <v>32</v>
      </c>
      <c r="F285" t="s">
        <v>46</v>
      </c>
      <c r="G285" t="s">
        <v>32</v>
      </c>
      <c r="H285" t="s">
        <v>176</v>
      </c>
      <c r="I285" t="s">
        <v>174</v>
      </c>
      <c r="J285">
        <v>0</v>
      </c>
      <c r="K285" t="s">
        <v>32</v>
      </c>
      <c r="L285">
        <v>47</v>
      </c>
      <c r="M285">
        <v>0</v>
      </c>
      <c r="N285" t="s">
        <v>234</v>
      </c>
      <c r="O285" t="s">
        <v>73</v>
      </c>
      <c r="P285" t="str">
        <f>INDEX(Teams!$B:$B,MATCH(E285,Teams!$A:$A,0))</f>
        <v>Kolkata Knight Riders</v>
      </c>
      <c r="Q285" t="str">
        <f>INDEX(Teams!$B:$B,MATCH(F285,Teams!$A:$A,0))</f>
        <v>Royal Challengers Bangalore</v>
      </c>
      <c r="R285" t="str">
        <f>INDEX(Teams!$B:$B,MATCH(G285,Teams!$A:$A,0))</f>
        <v>Kolkata Knight Riders</v>
      </c>
      <c r="S285" t="str">
        <f>IF(K285="","No result",INDEX(Teams!$B:$B,MATCH(K285,Teams!$A:$A,0)))</f>
        <v>Kolkata Knight Riders</v>
      </c>
      <c r="T285" t="str">
        <f>INDEX(Venues!$B:$B,MATCH(O285,Venues!$A:$A,0))</f>
        <v>Eden Gardens</v>
      </c>
      <c r="U285" t="str">
        <f>INDEX(Venues!$C:$C,MATCH(O285,Venues!$A:$A,0))</f>
        <v>Kolkata</v>
      </c>
      <c r="V285" t="str">
        <f>IF(L285&gt;0,L285&amp;" runs",IF(M285&gt;0,M285&amp;" wickets","-"))</f>
        <v>47 runs</v>
      </c>
      <c r="W285">
        <f>IF(G285=K285,1,0)</f>
        <v>1</v>
      </c>
      <c r="X285">
        <f>IF(L285&gt;0,L285,"")</f>
        <v>47</v>
      </c>
      <c r="Y285">
        <f>IF(X285="","",IF(X285&gt;Stats!$B$15,"Outlier",""))</f>
        <v/>
      </c>
      <c r="Z285" t="str">
        <f>P285&amp;" vs "&amp;Q285</f>
        <v>Kolkata Knight Riders vs Royal Challengers Bangalore</v>
      </c>
    </row>
    <row r="286" spans="1:26" x14ac:dyDescent="0.25">
      <c r="A286">
        <v>345</v>
      </c>
      <c r="B286">
        <v>2012</v>
      </c>
      <c r="C286" s="5">
        <v>41028</v>
      </c>
      <c r="D286" t="s">
        <v>172</v>
      </c>
      <c r="E286" t="s">
        <v>20</v>
      </c>
      <c r="F286" t="s">
        <v>41</v>
      </c>
      <c r="G286" t="s">
        <v>20</v>
      </c>
      <c r="H286" t="s">
        <v>176</v>
      </c>
      <c r="I286" t="s">
        <v>174</v>
      </c>
      <c r="J286">
        <v>0</v>
      </c>
      <c r="K286" t="s">
        <v>20</v>
      </c>
      <c r="L286">
        <v>1</v>
      </c>
      <c r="M286">
        <v>0</v>
      </c>
      <c r="N286" t="s">
        <v>182</v>
      </c>
      <c r="O286" t="s">
        <v>75</v>
      </c>
      <c r="P286" t="str">
        <f>INDEX(Teams!$B:$B,MATCH(E286,Teams!$A:$A,0))</f>
        <v>Delhi Capitals</v>
      </c>
      <c r="Q286" t="str">
        <f>INDEX(Teams!$B:$B,MATCH(F286,Teams!$A:$A,0))</f>
        <v>Rajasthan Royals</v>
      </c>
      <c r="R286" t="str">
        <f>INDEX(Teams!$B:$B,MATCH(G286,Teams!$A:$A,0))</f>
        <v>Delhi Capitals</v>
      </c>
      <c r="S286" t="str">
        <f>IF(K286="","No result",INDEX(Teams!$B:$B,MATCH(K286,Teams!$A:$A,0)))</f>
        <v>Delhi Capitals</v>
      </c>
      <c r="T286" t="str">
        <f>INDEX(Venues!$B:$B,MATCH(O286,Venues!$A:$A,0))</f>
        <v>Feroz Shah Kotla</v>
      </c>
      <c r="U286" t="str">
        <f>INDEX(Venues!$C:$C,MATCH(O286,Venues!$A:$A,0))</f>
        <v>Delhi</v>
      </c>
      <c r="V286" t="str">
        <f>IF(L286&gt;0,L286&amp;" runs",IF(M286&gt;0,M286&amp;" wickets","-"))</f>
        <v>1 runs</v>
      </c>
      <c r="W286">
        <f>IF(G286=K286,1,0)</f>
        <v>1</v>
      </c>
      <c r="X286">
        <f>IF(L286&gt;0,L286,"")</f>
        <v>1</v>
      </c>
      <c r="Y286">
        <f>IF(X286="","",IF(X286&gt;Stats!$B$15,"Outlier",""))</f>
        <v/>
      </c>
      <c r="Z286" t="str">
        <f>P286&amp;" vs "&amp;Q286</f>
        <v>Delhi Capitals vs Rajasthan Royals</v>
      </c>
    </row>
    <row r="287" spans="1:26" x14ac:dyDescent="0.25">
      <c r="A287">
        <v>346</v>
      </c>
      <c r="B287">
        <v>2012</v>
      </c>
      <c r="C287" s="5">
        <v>41028</v>
      </c>
      <c r="D287" t="s">
        <v>172</v>
      </c>
      <c r="E287" t="s">
        <v>16</v>
      </c>
      <c r="F287" t="s">
        <v>35</v>
      </c>
      <c r="G287" t="s">
        <v>35</v>
      </c>
      <c r="H287" t="s">
        <v>173</v>
      </c>
      <c r="I287" t="s">
        <v>174</v>
      </c>
      <c r="J287">
        <v>0</v>
      </c>
      <c r="K287" t="s">
        <v>35</v>
      </c>
      <c r="L287">
        <v>0</v>
      </c>
      <c r="M287">
        <v>5</v>
      </c>
      <c r="N287" t="s">
        <v>279</v>
      </c>
      <c r="O287" t="s">
        <v>138</v>
      </c>
      <c r="P287" t="str">
        <f>INDEX(Teams!$B:$B,MATCH(E287,Teams!$A:$A,0))</f>
        <v>Deccan Chargers</v>
      </c>
      <c r="Q287" t="str">
        <f>INDEX(Teams!$B:$B,MATCH(F287,Teams!$A:$A,0))</f>
        <v>Mumbai Indians</v>
      </c>
      <c r="R287" t="str">
        <f>INDEX(Teams!$B:$B,MATCH(G287,Teams!$A:$A,0))</f>
        <v>Mumbai Indians</v>
      </c>
      <c r="S287" t="str">
        <f>IF(K287="","No result",INDEX(Teams!$B:$B,MATCH(K287,Teams!$A:$A,0)))</f>
        <v>Mumbai Indians</v>
      </c>
      <c r="T287" t="str">
        <f>INDEX(Venues!$B:$B,MATCH(O287,Venues!$A:$A,0))</f>
        <v>Wankhede Stadium</v>
      </c>
      <c r="U287" t="str">
        <f>INDEX(Venues!$C:$C,MATCH(O287,Venues!$A:$A,0))</f>
        <v>Mumbai</v>
      </c>
      <c r="V287" t="str">
        <f>IF(L287&gt;0,L287&amp;" runs",IF(M287&gt;0,M287&amp;" wickets","-"))</f>
        <v>5 wickets</v>
      </c>
      <c r="W287">
        <f>IF(G287=K287,1,0)</f>
        <v>1</v>
      </c>
      <c r="X287">
        <f>IF(L287&gt;0,L287,"")</f>
        <v/>
      </c>
      <c r="Y287">
        <f>IF(X287="","",IF(X287&gt;Stats!$B$15,"Outlier",""))</f>
        <v/>
      </c>
      <c r="Z287" t="str">
        <f>P287&amp;" vs "&amp;Q287</f>
        <v>Deccan Chargers vs Mumbai Indians</v>
      </c>
    </row>
    <row r="288" spans="1:26" x14ac:dyDescent="0.25">
      <c r="A288">
        <v>347</v>
      </c>
      <c r="B288">
        <v>2012</v>
      </c>
      <c r="C288" s="5">
        <v>41029</v>
      </c>
      <c r="D288" t="s">
        <v>172</v>
      </c>
      <c r="E288" t="s">
        <v>12</v>
      </c>
      <c r="F288" t="s">
        <v>32</v>
      </c>
      <c r="G288" t="s">
        <v>12</v>
      </c>
      <c r="H288" t="s">
        <v>176</v>
      </c>
      <c r="I288" t="s">
        <v>174</v>
      </c>
      <c r="J288">
        <v>0</v>
      </c>
      <c r="K288" t="s">
        <v>32</v>
      </c>
      <c r="L288">
        <v>0</v>
      </c>
      <c r="M288">
        <v>5</v>
      </c>
      <c r="N288" t="s">
        <v>234</v>
      </c>
      <c r="O288" t="s">
        <v>94</v>
      </c>
      <c r="P288" t="str">
        <f>INDEX(Teams!$B:$B,MATCH(E288,Teams!$A:$A,0))</f>
        <v>Chennai Super Kings</v>
      </c>
      <c r="Q288" t="str">
        <f>INDEX(Teams!$B:$B,MATCH(F288,Teams!$A:$A,0))</f>
        <v>Kolkata Knight Riders</v>
      </c>
      <c r="R288" t="str">
        <f>INDEX(Teams!$B:$B,MATCH(G288,Teams!$A:$A,0))</f>
        <v>Chennai Super Kings</v>
      </c>
      <c r="S288" t="str">
        <f>IF(K288="","No result",INDEX(Teams!$B:$B,MATCH(K288,Teams!$A:$A,0)))</f>
        <v>Kolkata Knight Riders</v>
      </c>
      <c r="T288" t="str">
        <f>INDEX(Venues!$B:$B,MATCH(O288,Venues!$A:$A,0))</f>
        <v>MA Chidambaram Stadium</v>
      </c>
      <c r="U288" t="str">
        <f>INDEX(Venues!$C:$C,MATCH(O288,Venues!$A:$A,0))</f>
        <v>Chennai</v>
      </c>
      <c r="V288" t="str">
        <f>IF(L288&gt;0,L288&amp;" runs",IF(M288&gt;0,M288&amp;" wickets","-"))</f>
        <v>5 wickets</v>
      </c>
      <c r="W288">
        <f>IF(G288=K288,1,0)</f>
        <v>0</v>
      </c>
      <c r="X288">
        <f>IF(L288&gt;0,L288,"")</f>
        <v/>
      </c>
      <c r="Y288">
        <f>IF(X288="","",IF(X288&gt;Stats!$B$15,"Outlier",""))</f>
        <v/>
      </c>
      <c r="Z288" t="str">
        <f>P288&amp;" vs "&amp;Q288</f>
        <v>Chennai Super Kings vs Kolkata Knight Riders</v>
      </c>
    </row>
    <row r="289" spans="1:26" x14ac:dyDescent="0.25">
      <c r="A289">
        <v>348</v>
      </c>
      <c r="B289">
        <v>2012</v>
      </c>
      <c r="C289" s="5">
        <v>41030</v>
      </c>
      <c r="D289" t="s">
        <v>172</v>
      </c>
      <c r="E289" t="s">
        <v>16</v>
      </c>
      <c r="F289" t="s">
        <v>38</v>
      </c>
      <c r="G289" t="s">
        <v>16</v>
      </c>
      <c r="H289" t="s">
        <v>176</v>
      </c>
      <c r="I289" t="s">
        <v>174</v>
      </c>
      <c r="J289">
        <v>0</v>
      </c>
      <c r="K289" t="s">
        <v>16</v>
      </c>
      <c r="L289">
        <v>13</v>
      </c>
      <c r="M289">
        <v>0</v>
      </c>
      <c r="N289" t="s">
        <v>185</v>
      </c>
      <c r="O289" t="s">
        <v>54</v>
      </c>
      <c r="P289" t="str">
        <f>INDEX(Teams!$B:$B,MATCH(E289,Teams!$A:$A,0))</f>
        <v>Deccan Chargers</v>
      </c>
      <c r="Q289" t="str">
        <f>INDEX(Teams!$B:$B,MATCH(F289,Teams!$A:$A,0))</f>
        <v>Pune Warriors</v>
      </c>
      <c r="R289" t="str">
        <f>INDEX(Teams!$B:$B,MATCH(G289,Teams!$A:$A,0))</f>
        <v>Deccan Chargers</v>
      </c>
      <c r="S289" t="str">
        <f>IF(K289="","No result",INDEX(Teams!$B:$B,MATCH(K289,Teams!$A:$A,0)))</f>
        <v>Deccan Chargers</v>
      </c>
      <c r="T289" t="str">
        <f>INDEX(Venues!$B:$B,MATCH(O289,Venues!$A:$A,0))</f>
        <v>Barabati Stadium</v>
      </c>
      <c r="U289" t="str">
        <f>INDEX(Venues!$C:$C,MATCH(O289,Venues!$A:$A,0))</f>
        <v>Cuttack</v>
      </c>
      <c r="V289" t="str">
        <f>IF(L289&gt;0,L289&amp;" runs",IF(M289&gt;0,M289&amp;" wickets","-"))</f>
        <v>13 runs</v>
      </c>
      <c r="W289">
        <f>IF(G289=K289,1,0)</f>
        <v>1</v>
      </c>
      <c r="X289">
        <f>IF(L289&gt;0,L289,"")</f>
        <v>13</v>
      </c>
      <c r="Y289">
        <f>IF(X289="","",IF(X289&gt;Stats!$B$15,"Outlier",""))</f>
        <v/>
      </c>
      <c r="Z289" t="str">
        <f>P289&amp;" vs "&amp;Q289</f>
        <v>Deccan Chargers vs Pune Warriors</v>
      </c>
    </row>
    <row r="290" spans="1:26" x14ac:dyDescent="0.25">
      <c r="A290">
        <v>349</v>
      </c>
      <c r="B290">
        <v>2012</v>
      </c>
      <c r="C290" s="5">
        <v>41030</v>
      </c>
      <c r="D290" t="s">
        <v>172</v>
      </c>
      <c r="E290" t="s">
        <v>41</v>
      </c>
      <c r="F290" t="s">
        <v>20</v>
      </c>
      <c r="G290" t="s">
        <v>41</v>
      </c>
      <c r="H290" t="s">
        <v>176</v>
      </c>
      <c r="I290" t="s">
        <v>174</v>
      </c>
      <c r="J290">
        <v>0</v>
      </c>
      <c r="K290" t="s">
        <v>20</v>
      </c>
      <c r="L290">
        <v>0</v>
      </c>
      <c r="M290">
        <v>6</v>
      </c>
      <c r="N290" t="s">
        <v>311</v>
      </c>
      <c r="O290" t="s">
        <v>118</v>
      </c>
      <c r="P290" t="str">
        <f>INDEX(Teams!$B:$B,MATCH(E290,Teams!$A:$A,0))</f>
        <v>Rajasthan Royals</v>
      </c>
      <c r="Q290" t="str">
        <f>INDEX(Teams!$B:$B,MATCH(F290,Teams!$A:$A,0))</f>
        <v>Delhi Capitals</v>
      </c>
      <c r="R290" t="str">
        <f>INDEX(Teams!$B:$B,MATCH(G290,Teams!$A:$A,0))</f>
        <v>Rajasthan Royals</v>
      </c>
      <c r="S290" t="str">
        <f>IF(K290="","No result",INDEX(Teams!$B:$B,MATCH(K290,Teams!$A:$A,0)))</f>
        <v>Delhi Capitals</v>
      </c>
      <c r="T290" t="str">
        <f>INDEX(Venues!$B:$B,MATCH(O290,Venues!$A:$A,0))</f>
        <v>Sawai Mansingh Stadium</v>
      </c>
      <c r="U290" t="str">
        <f>INDEX(Venues!$C:$C,MATCH(O290,Venues!$A:$A,0))</f>
        <v>Jaipur</v>
      </c>
      <c r="V290" t="str">
        <f>IF(L290&gt;0,L290&amp;" runs",IF(M290&gt;0,M290&amp;" wickets","-"))</f>
        <v>6 wickets</v>
      </c>
      <c r="W290">
        <f>IF(G290=K290,1,0)</f>
        <v>0</v>
      </c>
      <c r="X290">
        <f>IF(L290&gt;0,L290,"")</f>
        <v/>
      </c>
      <c r="Y290">
        <f>IF(X290="","",IF(X290&gt;Stats!$B$15,"Outlier",""))</f>
        <v/>
      </c>
      <c r="Z290" t="str">
        <f>P290&amp;" vs "&amp;Q290</f>
        <v>Rajasthan Royals vs Delhi Capitals</v>
      </c>
    </row>
    <row r="291" spans="1:26" x14ac:dyDescent="0.25">
      <c r="A291">
        <v>350</v>
      </c>
      <c r="B291">
        <v>2012</v>
      </c>
      <c r="C291" s="5">
        <v>41031</v>
      </c>
      <c r="D291" t="s">
        <v>172</v>
      </c>
      <c r="E291" t="s">
        <v>46</v>
      </c>
      <c r="F291" t="s">
        <v>26</v>
      </c>
      <c r="G291" t="s">
        <v>26</v>
      </c>
      <c r="H291" t="s">
        <v>173</v>
      </c>
      <c r="I291" t="s">
        <v>174</v>
      </c>
      <c r="J291">
        <v>0</v>
      </c>
      <c r="K291" t="s">
        <v>26</v>
      </c>
      <c r="L291">
        <v>0</v>
      </c>
      <c r="M291">
        <v>4</v>
      </c>
      <c r="N291" t="s">
        <v>312</v>
      </c>
      <c r="O291" t="s">
        <v>92</v>
      </c>
      <c r="P291" t="str">
        <f>INDEX(Teams!$B:$B,MATCH(E291,Teams!$A:$A,0))</f>
        <v>Royal Challengers Bangalore</v>
      </c>
      <c r="Q291" t="str">
        <f>INDEX(Teams!$B:$B,MATCH(F291,Teams!$A:$A,0))</f>
        <v>Kings XI Punjab</v>
      </c>
      <c r="R291" t="str">
        <f>INDEX(Teams!$B:$B,MATCH(G291,Teams!$A:$A,0))</f>
        <v>Kings XI Punjab</v>
      </c>
      <c r="S291" t="str">
        <f>IF(K291="","No result",INDEX(Teams!$B:$B,MATCH(K291,Teams!$A:$A,0)))</f>
        <v>Kings XI Punjab</v>
      </c>
      <c r="T291" t="str">
        <f>INDEX(Venues!$B:$B,MATCH(O291,Venues!$A:$A,0))</f>
        <v>M Chinnaswamy Stadium</v>
      </c>
      <c r="U291" t="str">
        <f>INDEX(Venues!$C:$C,MATCH(O291,Venues!$A:$A,0))</f>
        <v>Bangalore</v>
      </c>
      <c r="V291" t="str">
        <f>IF(L291&gt;0,L291&amp;" runs",IF(M291&gt;0,M291&amp;" wickets","-"))</f>
        <v>4 wickets</v>
      </c>
      <c r="W291">
        <f>IF(G291=K291,1,0)</f>
        <v>1</v>
      </c>
      <c r="X291">
        <f>IF(L291&gt;0,L291,"")</f>
        <v/>
      </c>
      <c r="Y291">
        <f>IF(X291="","",IF(X291&gt;Stats!$B$15,"Outlier",""))</f>
        <v/>
      </c>
      <c r="Z291" t="str">
        <f>P291&amp;" vs "&amp;Q291</f>
        <v>Royal Challengers Bangalore vs Kings XI Punjab</v>
      </c>
    </row>
    <row r="292" spans="1:26" x14ac:dyDescent="0.25">
      <c r="A292">
        <v>351</v>
      </c>
      <c r="B292">
        <v>2012</v>
      </c>
      <c r="C292" s="5">
        <v>41032</v>
      </c>
      <c r="D292" t="s">
        <v>172</v>
      </c>
      <c r="E292" t="s">
        <v>35</v>
      </c>
      <c r="F292" t="s">
        <v>38</v>
      </c>
      <c r="G292" t="s">
        <v>35</v>
      </c>
      <c r="H292" t="s">
        <v>176</v>
      </c>
      <c r="I292" t="s">
        <v>174</v>
      </c>
      <c r="J292">
        <v>0</v>
      </c>
      <c r="K292" t="s">
        <v>35</v>
      </c>
      <c r="L292">
        <v>1</v>
      </c>
      <c r="M292">
        <v>0</v>
      </c>
      <c r="N292" t="s">
        <v>258</v>
      </c>
      <c r="O292" t="s">
        <v>96</v>
      </c>
      <c r="P292" t="str">
        <f>INDEX(Teams!$B:$B,MATCH(E292,Teams!$A:$A,0))</f>
        <v>Mumbai Indians</v>
      </c>
      <c r="Q292" t="str">
        <f>INDEX(Teams!$B:$B,MATCH(F292,Teams!$A:$A,0))</f>
        <v>Pune Warriors</v>
      </c>
      <c r="R292" t="str">
        <f>INDEX(Teams!$B:$B,MATCH(G292,Teams!$A:$A,0))</f>
        <v>Mumbai Indians</v>
      </c>
      <c r="S292" t="str">
        <f>IF(K292="","No result",INDEX(Teams!$B:$B,MATCH(K292,Teams!$A:$A,0)))</f>
        <v>Mumbai Indians</v>
      </c>
      <c r="T292" t="str">
        <f>INDEX(Venues!$B:$B,MATCH(O292,Venues!$A:$A,0))</f>
        <v>Maharashtra Cricket Association Stadium</v>
      </c>
      <c r="U292" t="str">
        <f>INDEX(Venues!$C:$C,MATCH(O292,Venues!$A:$A,0))</f>
        <v>Pune</v>
      </c>
      <c r="V292" t="str">
        <f>IF(L292&gt;0,L292&amp;" runs",IF(M292&gt;0,M292&amp;" wickets","-"))</f>
        <v>1 runs</v>
      </c>
      <c r="W292">
        <f>IF(G292=K292,1,0)</f>
        <v>1</v>
      </c>
      <c r="X292">
        <f>IF(L292&gt;0,L292,"")</f>
        <v>1</v>
      </c>
      <c r="Y292">
        <f>IF(X292="","",IF(X292&gt;Stats!$B$15,"Outlier",""))</f>
        <v/>
      </c>
      <c r="Z292" t="str">
        <f>P292&amp;" vs "&amp;Q292</f>
        <v>Mumbai Indians vs Pune Warriors</v>
      </c>
    </row>
    <row r="293" spans="1:26" x14ac:dyDescent="0.25">
      <c r="A293">
        <v>352</v>
      </c>
      <c r="B293">
        <v>2012</v>
      </c>
      <c r="C293" s="5">
        <v>41033</v>
      </c>
      <c r="D293" t="s">
        <v>172</v>
      </c>
      <c r="E293" t="s">
        <v>12</v>
      </c>
      <c r="F293" t="s">
        <v>16</v>
      </c>
      <c r="G293" t="s">
        <v>12</v>
      </c>
      <c r="H293" t="s">
        <v>176</v>
      </c>
      <c r="I293" t="s">
        <v>174</v>
      </c>
      <c r="J293">
        <v>0</v>
      </c>
      <c r="K293" t="s">
        <v>12</v>
      </c>
      <c r="L293">
        <v>10</v>
      </c>
      <c r="M293">
        <v>0</v>
      </c>
      <c r="N293" t="s">
        <v>214</v>
      </c>
      <c r="O293" t="s">
        <v>94</v>
      </c>
      <c r="P293" t="str">
        <f>INDEX(Teams!$B:$B,MATCH(E293,Teams!$A:$A,0))</f>
        <v>Chennai Super Kings</v>
      </c>
      <c r="Q293" t="str">
        <f>INDEX(Teams!$B:$B,MATCH(F293,Teams!$A:$A,0))</f>
        <v>Deccan Chargers</v>
      </c>
      <c r="R293" t="str">
        <f>INDEX(Teams!$B:$B,MATCH(G293,Teams!$A:$A,0))</f>
        <v>Chennai Super Kings</v>
      </c>
      <c r="S293" t="str">
        <f>IF(K293="","No result",INDEX(Teams!$B:$B,MATCH(K293,Teams!$A:$A,0)))</f>
        <v>Chennai Super Kings</v>
      </c>
      <c r="T293" t="str">
        <f>INDEX(Venues!$B:$B,MATCH(O293,Venues!$A:$A,0))</f>
        <v>MA Chidambaram Stadium</v>
      </c>
      <c r="U293" t="str">
        <f>INDEX(Venues!$C:$C,MATCH(O293,Venues!$A:$A,0))</f>
        <v>Chennai</v>
      </c>
      <c r="V293" t="str">
        <f>IF(L293&gt;0,L293&amp;" runs",IF(M293&gt;0,M293&amp;" wickets","-"))</f>
        <v>10 runs</v>
      </c>
      <c r="W293">
        <f>IF(G293=K293,1,0)</f>
        <v>1</v>
      </c>
      <c r="X293">
        <f>IF(L293&gt;0,L293,"")</f>
        <v>10</v>
      </c>
      <c r="Y293">
        <f>IF(X293="","",IF(X293&gt;Stats!$B$15,"Outlier",""))</f>
        <v/>
      </c>
      <c r="Z293" t="str">
        <f>P293&amp;" vs "&amp;Q293</f>
        <v>Chennai Super Kings vs Deccan Chargers</v>
      </c>
    </row>
    <row r="294" spans="1:26" x14ac:dyDescent="0.25">
      <c r="A294">
        <v>353</v>
      </c>
      <c r="B294">
        <v>2012</v>
      </c>
      <c r="C294" s="5">
        <v>41034</v>
      </c>
      <c r="D294" t="s">
        <v>172</v>
      </c>
      <c r="E294" t="s">
        <v>32</v>
      </c>
      <c r="F294" t="s">
        <v>38</v>
      </c>
      <c r="G294" t="s">
        <v>32</v>
      </c>
      <c r="H294" t="s">
        <v>176</v>
      </c>
      <c r="I294" t="s">
        <v>174</v>
      </c>
      <c r="J294">
        <v>0</v>
      </c>
      <c r="K294" t="s">
        <v>32</v>
      </c>
      <c r="L294">
        <v>7</v>
      </c>
      <c r="M294">
        <v>0</v>
      </c>
      <c r="N294" t="s">
        <v>306</v>
      </c>
      <c r="O294" t="s">
        <v>73</v>
      </c>
      <c r="P294" t="str">
        <f>INDEX(Teams!$B:$B,MATCH(E294,Teams!$A:$A,0))</f>
        <v>Kolkata Knight Riders</v>
      </c>
      <c r="Q294" t="str">
        <f>INDEX(Teams!$B:$B,MATCH(F294,Teams!$A:$A,0))</f>
        <v>Pune Warriors</v>
      </c>
      <c r="R294" t="str">
        <f>INDEX(Teams!$B:$B,MATCH(G294,Teams!$A:$A,0))</f>
        <v>Kolkata Knight Riders</v>
      </c>
      <c r="S294" t="str">
        <f>IF(K294="","No result",INDEX(Teams!$B:$B,MATCH(K294,Teams!$A:$A,0)))</f>
        <v>Kolkata Knight Riders</v>
      </c>
      <c r="T294" t="str">
        <f>INDEX(Venues!$B:$B,MATCH(O294,Venues!$A:$A,0))</f>
        <v>Eden Gardens</v>
      </c>
      <c r="U294" t="str">
        <f>INDEX(Venues!$C:$C,MATCH(O294,Venues!$A:$A,0))</f>
        <v>Kolkata</v>
      </c>
      <c r="V294" t="str">
        <f>IF(L294&gt;0,L294&amp;" runs",IF(M294&gt;0,M294&amp;" wickets","-"))</f>
        <v>7 runs</v>
      </c>
      <c r="W294">
        <f>IF(G294=K294,1,0)</f>
        <v>1</v>
      </c>
      <c r="X294">
        <f>IF(L294&gt;0,L294,"")</f>
        <v>7</v>
      </c>
      <c r="Y294">
        <f>IF(X294="","",IF(X294&gt;Stats!$B$15,"Outlier",""))</f>
        <v/>
      </c>
      <c r="Z294" t="str">
        <f>P294&amp;" vs "&amp;Q294</f>
        <v>Kolkata Knight Riders vs Pune Warriors</v>
      </c>
    </row>
    <row r="295" spans="1:26" x14ac:dyDescent="0.25">
      <c r="A295">
        <v>354</v>
      </c>
      <c r="B295">
        <v>2012</v>
      </c>
      <c r="C295" s="5">
        <v>41034</v>
      </c>
      <c r="D295" t="s">
        <v>172</v>
      </c>
      <c r="E295" t="s">
        <v>41</v>
      </c>
      <c r="F295" t="s">
        <v>26</v>
      </c>
      <c r="G295" t="s">
        <v>41</v>
      </c>
      <c r="H295" t="s">
        <v>176</v>
      </c>
      <c r="I295" t="s">
        <v>174</v>
      </c>
      <c r="J295">
        <v>0</v>
      </c>
      <c r="K295" t="s">
        <v>41</v>
      </c>
      <c r="L295">
        <v>43</v>
      </c>
      <c r="M295">
        <v>0</v>
      </c>
      <c r="N295" t="s">
        <v>181</v>
      </c>
      <c r="O295" t="s">
        <v>109</v>
      </c>
      <c r="P295" t="str">
        <f>INDEX(Teams!$B:$B,MATCH(E295,Teams!$A:$A,0))</f>
        <v>Rajasthan Royals</v>
      </c>
      <c r="Q295" t="str">
        <f>INDEX(Teams!$B:$B,MATCH(F295,Teams!$A:$A,0))</f>
        <v>Kings XI Punjab</v>
      </c>
      <c r="R295" t="str">
        <f>INDEX(Teams!$B:$B,MATCH(G295,Teams!$A:$A,0))</f>
        <v>Rajasthan Royals</v>
      </c>
      <c r="S295" t="str">
        <f>IF(K295="","No result",INDEX(Teams!$B:$B,MATCH(K295,Teams!$A:$A,0)))</f>
        <v>Rajasthan Royals</v>
      </c>
      <c r="T295" t="str">
        <f>INDEX(Venues!$B:$B,MATCH(O295,Venues!$A:$A,0))</f>
        <v>Punjab Cricket Association IS Bindra Stadium</v>
      </c>
      <c r="U295" t="str">
        <f>INDEX(Venues!$C:$C,MATCH(O295,Venues!$A:$A,0))</f>
        <v>Chandigarh</v>
      </c>
      <c r="V295" t="str">
        <f>IF(L295&gt;0,L295&amp;" runs",IF(M295&gt;0,M295&amp;" wickets","-"))</f>
        <v>43 runs</v>
      </c>
      <c r="W295">
        <f>IF(G295=K295,1,0)</f>
        <v>1</v>
      </c>
      <c r="X295">
        <f>IF(L295&gt;0,L295,"")</f>
        <v>43</v>
      </c>
      <c r="Y295">
        <f>IF(X295="","",IF(X295&gt;Stats!$B$15,"Outlier",""))</f>
        <v/>
      </c>
      <c r="Z295" t="str">
        <f>P295&amp;" vs "&amp;Q295</f>
        <v>Rajasthan Royals vs Kings XI Punjab</v>
      </c>
    </row>
    <row r="296" spans="1:26" x14ac:dyDescent="0.25">
      <c r="A296">
        <v>355</v>
      </c>
      <c r="B296">
        <v>2012</v>
      </c>
      <c r="C296" s="5">
        <v>41035</v>
      </c>
      <c r="D296" t="s">
        <v>172</v>
      </c>
      <c r="E296" t="s">
        <v>12</v>
      </c>
      <c r="F296" t="s">
        <v>35</v>
      </c>
      <c r="G296" t="s">
        <v>35</v>
      </c>
      <c r="H296" t="s">
        <v>173</v>
      </c>
      <c r="I296" t="s">
        <v>174</v>
      </c>
      <c r="J296">
        <v>0</v>
      </c>
      <c r="K296" t="s">
        <v>35</v>
      </c>
      <c r="L296">
        <v>0</v>
      </c>
      <c r="M296">
        <v>2</v>
      </c>
      <c r="N296" t="s">
        <v>238</v>
      </c>
      <c r="O296" t="s">
        <v>138</v>
      </c>
      <c r="P296" t="str">
        <f>INDEX(Teams!$B:$B,MATCH(E296,Teams!$A:$A,0))</f>
        <v>Chennai Super Kings</v>
      </c>
      <c r="Q296" t="str">
        <f>INDEX(Teams!$B:$B,MATCH(F296,Teams!$A:$A,0))</f>
        <v>Mumbai Indians</v>
      </c>
      <c r="R296" t="str">
        <f>INDEX(Teams!$B:$B,MATCH(G296,Teams!$A:$A,0))</f>
        <v>Mumbai Indians</v>
      </c>
      <c r="S296" t="str">
        <f>IF(K296="","No result",INDEX(Teams!$B:$B,MATCH(K296,Teams!$A:$A,0)))</f>
        <v>Mumbai Indians</v>
      </c>
      <c r="T296" t="str">
        <f>INDEX(Venues!$B:$B,MATCH(O296,Venues!$A:$A,0))</f>
        <v>Wankhede Stadium</v>
      </c>
      <c r="U296" t="str">
        <f>INDEX(Venues!$C:$C,MATCH(O296,Venues!$A:$A,0))</f>
        <v>Mumbai</v>
      </c>
      <c r="V296" t="str">
        <f>IF(L296&gt;0,L296&amp;" runs",IF(M296&gt;0,M296&amp;" wickets","-"))</f>
        <v>2 wickets</v>
      </c>
      <c r="W296">
        <f>IF(G296=K296,1,0)</f>
        <v>1</v>
      </c>
      <c r="X296">
        <f>IF(L296&gt;0,L296,"")</f>
        <v/>
      </c>
      <c r="Y296">
        <f>IF(X296="","",IF(X296&gt;Stats!$B$15,"Outlier",""))</f>
        <v/>
      </c>
      <c r="Z296" t="str">
        <f>P296&amp;" vs "&amp;Q296</f>
        <v>Chennai Super Kings vs Mumbai Indians</v>
      </c>
    </row>
    <row r="297" spans="1:26" x14ac:dyDescent="0.25">
      <c r="A297">
        <v>356</v>
      </c>
      <c r="B297">
        <v>2012</v>
      </c>
      <c r="C297" s="5">
        <v>41035</v>
      </c>
      <c r="D297" t="s">
        <v>172</v>
      </c>
      <c r="E297" t="s">
        <v>16</v>
      </c>
      <c r="F297" t="s">
        <v>46</v>
      </c>
      <c r="G297" t="s">
        <v>46</v>
      </c>
      <c r="H297" t="s">
        <v>173</v>
      </c>
      <c r="I297" t="s">
        <v>174</v>
      </c>
      <c r="J297">
        <v>0</v>
      </c>
      <c r="K297" t="s">
        <v>46</v>
      </c>
      <c r="L297">
        <v>0</v>
      </c>
      <c r="M297">
        <v>5</v>
      </c>
      <c r="N297" t="s">
        <v>223</v>
      </c>
      <c r="O297" t="s">
        <v>92</v>
      </c>
      <c r="P297" t="str">
        <f>INDEX(Teams!$B:$B,MATCH(E297,Teams!$A:$A,0))</f>
        <v>Deccan Chargers</v>
      </c>
      <c r="Q297" t="str">
        <f>INDEX(Teams!$B:$B,MATCH(F297,Teams!$A:$A,0))</f>
        <v>Royal Challengers Bangalore</v>
      </c>
      <c r="R297" t="str">
        <f>INDEX(Teams!$B:$B,MATCH(G297,Teams!$A:$A,0))</f>
        <v>Royal Challengers Bangalore</v>
      </c>
      <c r="S297" t="str">
        <f>IF(K297="","No result",INDEX(Teams!$B:$B,MATCH(K297,Teams!$A:$A,0)))</f>
        <v>Royal Challengers Bangalore</v>
      </c>
      <c r="T297" t="str">
        <f>INDEX(Venues!$B:$B,MATCH(O297,Venues!$A:$A,0))</f>
        <v>M Chinnaswamy Stadium</v>
      </c>
      <c r="U297" t="str">
        <f>INDEX(Venues!$C:$C,MATCH(O297,Venues!$A:$A,0))</f>
        <v>Bangalore</v>
      </c>
      <c r="V297" t="str">
        <f>IF(L297&gt;0,L297&amp;" runs",IF(M297&gt;0,M297&amp;" wickets","-"))</f>
        <v>5 wickets</v>
      </c>
      <c r="W297">
        <f>IF(G297=K297,1,0)</f>
        <v>1</v>
      </c>
      <c r="X297">
        <f>IF(L297&gt;0,L297,"")</f>
        <v/>
      </c>
      <c r="Y297">
        <f>IF(X297="","",IF(X297&gt;Stats!$B$15,"Outlier",""))</f>
        <v/>
      </c>
      <c r="Z297" t="str">
        <f>P297&amp;" vs "&amp;Q297</f>
        <v>Deccan Chargers vs Royal Challengers Bangalore</v>
      </c>
    </row>
    <row r="298" spans="1:26" x14ac:dyDescent="0.25">
      <c r="A298">
        <v>357</v>
      </c>
      <c r="B298">
        <v>2012</v>
      </c>
      <c r="C298" s="5">
        <v>41036</v>
      </c>
      <c r="D298" t="s">
        <v>172</v>
      </c>
      <c r="E298" t="s">
        <v>20</v>
      </c>
      <c r="F298" t="s">
        <v>32</v>
      </c>
      <c r="G298" t="s">
        <v>20</v>
      </c>
      <c r="H298" t="s">
        <v>176</v>
      </c>
      <c r="I298" t="s">
        <v>174</v>
      </c>
      <c r="J298">
        <v>0</v>
      </c>
      <c r="K298" t="s">
        <v>32</v>
      </c>
      <c r="L298">
        <v>0</v>
      </c>
      <c r="M298">
        <v>6</v>
      </c>
      <c r="N298" t="s">
        <v>233</v>
      </c>
      <c r="O298" t="s">
        <v>75</v>
      </c>
      <c r="P298" t="str">
        <f>INDEX(Teams!$B:$B,MATCH(E298,Teams!$A:$A,0))</f>
        <v>Delhi Capitals</v>
      </c>
      <c r="Q298" t="str">
        <f>INDEX(Teams!$B:$B,MATCH(F298,Teams!$A:$A,0))</f>
        <v>Kolkata Knight Riders</v>
      </c>
      <c r="R298" t="str">
        <f>INDEX(Teams!$B:$B,MATCH(G298,Teams!$A:$A,0))</f>
        <v>Delhi Capitals</v>
      </c>
      <c r="S298" t="str">
        <f>IF(K298="","No result",INDEX(Teams!$B:$B,MATCH(K298,Teams!$A:$A,0)))</f>
        <v>Kolkata Knight Riders</v>
      </c>
      <c r="T298" t="str">
        <f>INDEX(Venues!$B:$B,MATCH(O298,Venues!$A:$A,0))</f>
        <v>Feroz Shah Kotla</v>
      </c>
      <c r="U298" t="str">
        <f>INDEX(Venues!$C:$C,MATCH(O298,Venues!$A:$A,0))</f>
        <v>Delhi</v>
      </c>
      <c r="V298" t="str">
        <f>IF(L298&gt;0,L298&amp;" runs",IF(M298&gt;0,M298&amp;" wickets","-"))</f>
        <v>6 wickets</v>
      </c>
      <c r="W298">
        <f>IF(G298=K298,1,0)</f>
        <v>0</v>
      </c>
      <c r="X298">
        <f>IF(L298&gt;0,L298,"")</f>
        <v/>
      </c>
      <c r="Y298">
        <f>IF(X298="","",IF(X298&gt;Stats!$B$15,"Outlier",""))</f>
        <v/>
      </c>
      <c r="Z298" t="str">
        <f>P298&amp;" vs "&amp;Q298</f>
        <v>Delhi Capitals vs Kolkata Knight Riders</v>
      </c>
    </row>
    <row r="299" spans="1:26" x14ac:dyDescent="0.25">
      <c r="A299">
        <v>358</v>
      </c>
      <c r="B299">
        <v>2012</v>
      </c>
      <c r="C299" s="5">
        <v>41037</v>
      </c>
      <c r="D299" t="s">
        <v>172</v>
      </c>
      <c r="E299" t="s">
        <v>38</v>
      </c>
      <c r="F299" t="s">
        <v>41</v>
      </c>
      <c r="G299" t="s">
        <v>38</v>
      </c>
      <c r="H299" t="s">
        <v>176</v>
      </c>
      <c r="I299" t="s">
        <v>174</v>
      </c>
      <c r="J299">
        <v>0</v>
      </c>
      <c r="K299" t="s">
        <v>41</v>
      </c>
      <c r="L299">
        <v>0</v>
      </c>
      <c r="M299">
        <v>7</v>
      </c>
      <c r="N299" t="s">
        <v>181</v>
      </c>
      <c r="O299" t="s">
        <v>96</v>
      </c>
      <c r="P299" t="str">
        <f>INDEX(Teams!$B:$B,MATCH(E299,Teams!$A:$A,0))</f>
        <v>Pune Warriors</v>
      </c>
      <c r="Q299" t="str">
        <f>INDEX(Teams!$B:$B,MATCH(F299,Teams!$A:$A,0))</f>
        <v>Rajasthan Royals</v>
      </c>
      <c r="R299" t="str">
        <f>INDEX(Teams!$B:$B,MATCH(G299,Teams!$A:$A,0))</f>
        <v>Pune Warriors</v>
      </c>
      <c r="S299" t="str">
        <f>IF(K299="","No result",INDEX(Teams!$B:$B,MATCH(K299,Teams!$A:$A,0)))</f>
        <v>Rajasthan Royals</v>
      </c>
      <c r="T299" t="str">
        <f>INDEX(Venues!$B:$B,MATCH(O299,Venues!$A:$A,0))</f>
        <v>Maharashtra Cricket Association Stadium</v>
      </c>
      <c r="U299" t="str">
        <f>INDEX(Venues!$C:$C,MATCH(O299,Venues!$A:$A,0))</f>
        <v>Pune</v>
      </c>
      <c r="V299" t="str">
        <f>IF(L299&gt;0,L299&amp;" runs",IF(M299&gt;0,M299&amp;" wickets","-"))</f>
        <v>7 wickets</v>
      </c>
      <c r="W299">
        <f>IF(G299=K299,1,0)</f>
        <v>0</v>
      </c>
      <c r="X299">
        <f>IF(L299&gt;0,L299,"")</f>
        <v/>
      </c>
      <c r="Y299">
        <f>IF(X299="","",IF(X299&gt;Stats!$B$15,"Outlier",""))</f>
        <v/>
      </c>
      <c r="Z299" t="str">
        <f>P299&amp;" vs "&amp;Q299</f>
        <v>Pune Warriors vs Rajasthan Royals</v>
      </c>
    </row>
    <row r="300" spans="1:26" x14ac:dyDescent="0.25">
      <c r="A300">
        <v>359</v>
      </c>
      <c r="B300">
        <v>2012</v>
      </c>
      <c r="C300" s="5">
        <v>41037</v>
      </c>
      <c r="D300" t="s">
        <v>172</v>
      </c>
      <c r="E300" t="s">
        <v>26</v>
      </c>
      <c r="F300" t="s">
        <v>16</v>
      </c>
      <c r="G300" t="s">
        <v>16</v>
      </c>
      <c r="H300" t="s">
        <v>173</v>
      </c>
      <c r="I300" t="s">
        <v>174</v>
      </c>
      <c r="J300">
        <v>0</v>
      </c>
      <c r="K300" t="s">
        <v>26</v>
      </c>
      <c r="L300">
        <v>25</v>
      </c>
      <c r="M300">
        <v>0</v>
      </c>
      <c r="N300" t="s">
        <v>310</v>
      </c>
      <c r="O300" t="s">
        <v>111</v>
      </c>
      <c r="P300" t="str">
        <f>INDEX(Teams!$B:$B,MATCH(E300,Teams!$A:$A,0))</f>
        <v>Kings XI Punjab</v>
      </c>
      <c r="Q300" t="str">
        <f>INDEX(Teams!$B:$B,MATCH(F300,Teams!$A:$A,0))</f>
        <v>Deccan Chargers</v>
      </c>
      <c r="R300" t="str">
        <f>INDEX(Teams!$B:$B,MATCH(G300,Teams!$A:$A,0))</f>
        <v>Deccan Chargers</v>
      </c>
      <c r="S300" t="str">
        <f>IF(K300="","No result",INDEX(Teams!$B:$B,MATCH(K300,Teams!$A:$A,0)))</f>
        <v>Kings XI Punjab</v>
      </c>
      <c r="T300" t="str">
        <f>INDEX(Venues!$B:$B,MATCH(O300,Venues!$A:$A,0))</f>
        <v>Rajiv Gandhi International Stadium</v>
      </c>
      <c r="U300" t="str">
        <f>INDEX(Venues!$C:$C,MATCH(O300,Venues!$A:$A,0))</f>
        <v>Hyderabad</v>
      </c>
      <c r="V300" t="str">
        <f>IF(L300&gt;0,L300&amp;" runs",IF(M300&gt;0,M300&amp;" wickets","-"))</f>
        <v>25 runs</v>
      </c>
      <c r="W300">
        <f>IF(G300=K300,1,0)</f>
        <v>0</v>
      </c>
      <c r="X300">
        <f>IF(L300&gt;0,L300,"")</f>
        <v>25</v>
      </c>
      <c r="Y300">
        <f>IF(X300="","",IF(X300&gt;Stats!$B$15,"Outlier",""))</f>
        <v/>
      </c>
      <c r="Z300" t="str">
        <f>P300&amp;" vs "&amp;Q300</f>
        <v>Kings XI Punjab vs Deccan Chargers</v>
      </c>
    </row>
    <row r="301" spans="1:26" x14ac:dyDescent="0.25">
      <c r="A301">
        <v>360</v>
      </c>
      <c r="B301">
        <v>2012</v>
      </c>
      <c r="C301" s="5">
        <v>41038</v>
      </c>
      <c r="D301" t="s">
        <v>172</v>
      </c>
      <c r="E301" t="s">
        <v>35</v>
      </c>
      <c r="F301" t="s">
        <v>46</v>
      </c>
      <c r="G301" t="s">
        <v>46</v>
      </c>
      <c r="H301" t="s">
        <v>173</v>
      </c>
      <c r="I301" t="s">
        <v>174</v>
      </c>
      <c r="J301">
        <v>0</v>
      </c>
      <c r="K301" t="s">
        <v>46</v>
      </c>
      <c r="L301">
        <v>0</v>
      </c>
      <c r="M301">
        <v>9</v>
      </c>
      <c r="N301" t="s">
        <v>222</v>
      </c>
      <c r="O301" t="s">
        <v>138</v>
      </c>
      <c r="P301" t="str">
        <f>INDEX(Teams!$B:$B,MATCH(E301,Teams!$A:$A,0))</f>
        <v>Mumbai Indians</v>
      </c>
      <c r="Q301" t="str">
        <f>INDEX(Teams!$B:$B,MATCH(F301,Teams!$A:$A,0))</f>
        <v>Royal Challengers Bangalore</v>
      </c>
      <c r="R301" t="str">
        <f>INDEX(Teams!$B:$B,MATCH(G301,Teams!$A:$A,0))</f>
        <v>Royal Challengers Bangalore</v>
      </c>
      <c r="S301" t="str">
        <f>IF(K301="","No result",INDEX(Teams!$B:$B,MATCH(K301,Teams!$A:$A,0)))</f>
        <v>Royal Challengers Bangalore</v>
      </c>
      <c r="T301" t="str">
        <f>INDEX(Venues!$B:$B,MATCH(O301,Venues!$A:$A,0))</f>
        <v>Wankhede Stadium</v>
      </c>
      <c r="U301" t="str">
        <f>INDEX(Venues!$C:$C,MATCH(O301,Venues!$A:$A,0))</f>
        <v>Mumbai</v>
      </c>
      <c r="V301" t="str">
        <f>IF(L301&gt;0,L301&amp;" runs",IF(M301&gt;0,M301&amp;" wickets","-"))</f>
        <v>9 wickets</v>
      </c>
      <c r="W301">
        <f>IF(G301=K301,1,0)</f>
        <v>1</v>
      </c>
      <c r="X301">
        <f>IF(L301&gt;0,L301,"")</f>
        <v/>
      </c>
      <c r="Y301">
        <f>IF(X301="","",IF(X301&gt;Stats!$B$15,"Outlier",""))</f>
        <v/>
      </c>
      <c r="Z301" t="str">
        <f>P301&amp;" vs "&amp;Q301</f>
        <v>Mumbai Indians vs Royal Challengers Bangalore</v>
      </c>
    </row>
    <row r="302" spans="1:26" x14ac:dyDescent="0.25">
      <c r="A302">
        <v>331</v>
      </c>
      <c r="B302">
        <v>2012</v>
      </c>
      <c r="C302" s="5">
        <v>41039</v>
      </c>
      <c r="D302" t="s">
        <v>172</v>
      </c>
      <c r="E302" t="s">
        <v>16</v>
      </c>
      <c r="F302" t="s">
        <v>20</v>
      </c>
      <c r="G302" t="s">
        <v>16</v>
      </c>
      <c r="H302" t="s">
        <v>176</v>
      </c>
      <c r="I302" t="s">
        <v>174</v>
      </c>
      <c r="J302">
        <v>0</v>
      </c>
      <c r="K302" t="s">
        <v>20</v>
      </c>
      <c r="L302">
        <v>0</v>
      </c>
      <c r="M302">
        <v>9</v>
      </c>
      <c r="N302" t="s">
        <v>257</v>
      </c>
      <c r="O302" t="s">
        <v>111</v>
      </c>
      <c r="P302" t="str">
        <f>INDEX(Teams!$B:$B,MATCH(E302,Teams!$A:$A,0))</f>
        <v>Deccan Chargers</v>
      </c>
      <c r="Q302" t="str">
        <f>INDEX(Teams!$B:$B,MATCH(F302,Teams!$A:$A,0))</f>
        <v>Delhi Capitals</v>
      </c>
      <c r="R302" t="str">
        <f>INDEX(Teams!$B:$B,MATCH(G302,Teams!$A:$A,0))</f>
        <v>Deccan Chargers</v>
      </c>
      <c r="S302" t="str">
        <f>IF(K302="","No result",INDEX(Teams!$B:$B,MATCH(K302,Teams!$A:$A,0)))</f>
        <v>Delhi Capitals</v>
      </c>
      <c r="T302" t="str">
        <f>INDEX(Venues!$B:$B,MATCH(O302,Venues!$A:$A,0))</f>
        <v>Rajiv Gandhi International Stadium</v>
      </c>
      <c r="U302" t="str">
        <f>INDEX(Venues!$C:$C,MATCH(O302,Venues!$A:$A,0))</f>
        <v>Hyderabad</v>
      </c>
      <c r="V302" t="str">
        <f>IF(L302&gt;0,L302&amp;" runs",IF(M302&gt;0,M302&amp;" wickets","-"))</f>
        <v>9 wickets</v>
      </c>
      <c r="W302">
        <f>IF(G302=K302,1,0)</f>
        <v>0</v>
      </c>
      <c r="X302">
        <f>IF(L302&gt;0,L302,"")</f>
        <v/>
      </c>
      <c r="Y302">
        <f>IF(X302="","",IF(X302&gt;Stats!$B$15,"Outlier",""))</f>
        <v/>
      </c>
      <c r="Z302" t="str">
        <f>P302&amp;" vs "&amp;Q302</f>
        <v>Deccan Chargers vs Delhi Capitals</v>
      </c>
    </row>
    <row r="303" spans="1:26" x14ac:dyDescent="0.25">
      <c r="A303">
        <v>361</v>
      </c>
      <c r="B303">
        <v>2012</v>
      </c>
      <c r="C303" s="5">
        <v>41039</v>
      </c>
      <c r="D303" t="s">
        <v>172</v>
      </c>
      <c r="E303" t="s">
        <v>41</v>
      </c>
      <c r="F303" t="s">
        <v>12</v>
      </c>
      <c r="G303" t="s">
        <v>12</v>
      </c>
      <c r="H303" t="s">
        <v>173</v>
      </c>
      <c r="I303" t="s">
        <v>174</v>
      </c>
      <c r="J303">
        <v>0</v>
      </c>
      <c r="K303" t="s">
        <v>12</v>
      </c>
      <c r="L303">
        <v>0</v>
      </c>
      <c r="M303">
        <v>4</v>
      </c>
      <c r="N303" t="s">
        <v>313</v>
      </c>
      <c r="O303" t="s">
        <v>118</v>
      </c>
      <c r="P303" t="str">
        <f>INDEX(Teams!$B:$B,MATCH(E303,Teams!$A:$A,0))</f>
        <v>Rajasthan Royals</v>
      </c>
      <c r="Q303" t="str">
        <f>INDEX(Teams!$B:$B,MATCH(F303,Teams!$A:$A,0))</f>
        <v>Chennai Super Kings</v>
      </c>
      <c r="R303" t="str">
        <f>INDEX(Teams!$B:$B,MATCH(G303,Teams!$A:$A,0))</f>
        <v>Chennai Super Kings</v>
      </c>
      <c r="S303" t="str">
        <f>IF(K303="","No result",INDEX(Teams!$B:$B,MATCH(K303,Teams!$A:$A,0)))</f>
        <v>Chennai Super Kings</v>
      </c>
      <c r="T303" t="str">
        <f>INDEX(Venues!$B:$B,MATCH(O303,Venues!$A:$A,0))</f>
        <v>Sawai Mansingh Stadium</v>
      </c>
      <c r="U303" t="str">
        <f>INDEX(Venues!$C:$C,MATCH(O303,Venues!$A:$A,0))</f>
        <v>Jaipur</v>
      </c>
      <c r="V303" t="str">
        <f>IF(L303&gt;0,L303&amp;" runs",IF(M303&gt;0,M303&amp;" wickets","-"))</f>
        <v>4 wickets</v>
      </c>
      <c r="W303">
        <f>IF(G303=K303,1,0)</f>
        <v>1</v>
      </c>
      <c r="X303">
        <f>IF(L303&gt;0,L303,"")</f>
        <v/>
      </c>
      <c r="Y303">
        <f>IF(X303="","",IF(X303&gt;Stats!$B$15,"Outlier",""))</f>
        <v/>
      </c>
      <c r="Z303" t="str">
        <f>P303&amp;" vs "&amp;Q303</f>
        <v>Rajasthan Royals vs Chennai Super Kings</v>
      </c>
    </row>
    <row r="304" spans="1:26" x14ac:dyDescent="0.25">
      <c r="A304">
        <v>362</v>
      </c>
      <c r="B304">
        <v>2012</v>
      </c>
      <c r="C304" s="5">
        <v>41040</v>
      </c>
      <c r="D304" t="s">
        <v>172</v>
      </c>
      <c r="E304" t="s">
        <v>46</v>
      </c>
      <c r="F304" t="s">
        <v>38</v>
      </c>
      <c r="G304" t="s">
        <v>38</v>
      </c>
      <c r="H304" t="s">
        <v>173</v>
      </c>
      <c r="I304" t="s">
        <v>174</v>
      </c>
      <c r="J304">
        <v>0</v>
      </c>
      <c r="K304" t="s">
        <v>46</v>
      </c>
      <c r="L304">
        <v>35</v>
      </c>
      <c r="M304">
        <v>0</v>
      </c>
      <c r="N304" t="s">
        <v>222</v>
      </c>
      <c r="O304" t="s">
        <v>96</v>
      </c>
      <c r="P304" t="str">
        <f>INDEX(Teams!$B:$B,MATCH(E304,Teams!$A:$A,0))</f>
        <v>Royal Challengers Bangalore</v>
      </c>
      <c r="Q304" t="str">
        <f>INDEX(Teams!$B:$B,MATCH(F304,Teams!$A:$A,0))</f>
        <v>Pune Warriors</v>
      </c>
      <c r="R304" t="str">
        <f>INDEX(Teams!$B:$B,MATCH(G304,Teams!$A:$A,0))</f>
        <v>Pune Warriors</v>
      </c>
      <c r="S304" t="str">
        <f>IF(K304="","No result",INDEX(Teams!$B:$B,MATCH(K304,Teams!$A:$A,0)))</f>
        <v>Royal Challengers Bangalore</v>
      </c>
      <c r="T304" t="str">
        <f>INDEX(Venues!$B:$B,MATCH(O304,Venues!$A:$A,0))</f>
        <v>Maharashtra Cricket Association Stadium</v>
      </c>
      <c r="U304" t="str">
        <f>INDEX(Venues!$C:$C,MATCH(O304,Venues!$A:$A,0))</f>
        <v>Pune</v>
      </c>
      <c r="V304" t="str">
        <f>IF(L304&gt;0,L304&amp;" runs",IF(M304&gt;0,M304&amp;" wickets","-"))</f>
        <v>35 runs</v>
      </c>
      <c r="W304">
        <f>IF(G304=K304,1,0)</f>
        <v>0</v>
      </c>
      <c r="X304">
        <f>IF(L304&gt;0,L304,"")</f>
        <v>35</v>
      </c>
      <c r="Y304">
        <f>IF(X304="","",IF(X304&gt;Stats!$B$15,"Outlier",""))</f>
        <v/>
      </c>
      <c r="Z304" t="str">
        <f>P304&amp;" vs "&amp;Q304</f>
        <v>Royal Challengers Bangalore vs Pune Warriors</v>
      </c>
    </row>
    <row r="305" spans="1:26" x14ac:dyDescent="0.25">
      <c r="A305">
        <v>363</v>
      </c>
      <c r="B305">
        <v>2012</v>
      </c>
      <c r="C305" s="5">
        <v>41041</v>
      </c>
      <c r="D305" t="s">
        <v>172</v>
      </c>
      <c r="E305" t="s">
        <v>35</v>
      </c>
      <c r="F305" t="s">
        <v>32</v>
      </c>
      <c r="G305" t="s">
        <v>35</v>
      </c>
      <c r="H305" t="s">
        <v>176</v>
      </c>
      <c r="I305" t="s">
        <v>174</v>
      </c>
      <c r="J305">
        <v>0</v>
      </c>
      <c r="K305" t="s">
        <v>35</v>
      </c>
      <c r="L305">
        <v>27</v>
      </c>
      <c r="M305">
        <v>0</v>
      </c>
      <c r="N305" t="s">
        <v>235</v>
      </c>
      <c r="O305" t="s">
        <v>73</v>
      </c>
      <c r="P305" t="str">
        <f>INDEX(Teams!$B:$B,MATCH(E305,Teams!$A:$A,0))</f>
        <v>Mumbai Indians</v>
      </c>
      <c r="Q305" t="str">
        <f>INDEX(Teams!$B:$B,MATCH(F305,Teams!$A:$A,0))</f>
        <v>Kolkata Knight Riders</v>
      </c>
      <c r="R305" t="str">
        <f>INDEX(Teams!$B:$B,MATCH(G305,Teams!$A:$A,0))</f>
        <v>Mumbai Indians</v>
      </c>
      <c r="S305" t="str">
        <f>IF(K305="","No result",INDEX(Teams!$B:$B,MATCH(K305,Teams!$A:$A,0)))</f>
        <v>Mumbai Indians</v>
      </c>
      <c r="T305" t="str">
        <f>INDEX(Venues!$B:$B,MATCH(O305,Venues!$A:$A,0))</f>
        <v>Eden Gardens</v>
      </c>
      <c r="U305" t="str">
        <f>INDEX(Venues!$C:$C,MATCH(O305,Venues!$A:$A,0))</f>
        <v>Kolkata</v>
      </c>
      <c r="V305" t="str">
        <f>IF(L305&gt;0,L305&amp;" runs",IF(M305&gt;0,M305&amp;" wickets","-"))</f>
        <v>27 runs</v>
      </c>
      <c r="W305">
        <f>IF(G305=K305,1,0)</f>
        <v>1</v>
      </c>
      <c r="X305">
        <f>IF(L305&gt;0,L305,"")</f>
        <v>27</v>
      </c>
      <c r="Y305">
        <f>IF(X305="","",IF(X305&gt;Stats!$B$15,"Outlier",""))</f>
        <v/>
      </c>
      <c r="Z305" t="str">
        <f>P305&amp;" vs "&amp;Q305</f>
        <v>Mumbai Indians vs Kolkata Knight Riders</v>
      </c>
    </row>
    <row r="306" spans="1:26" x14ac:dyDescent="0.25">
      <c r="A306">
        <v>364</v>
      </c>
      <c r="B306">
        <v>2012</v>
      </c>
      <c r="C306" s="5">
        <v>41041</v>
      </c>
      <c r="D306" t="s">
        <v>172</v>
      </c>
      <c r="E306" t="s">
        <v>20</v>
      </c>
      <c r="F306" t="s">
        <v>12</v>
      </c>
      <c r="G306" t="s">
        <v>12</v>
      </c>
      <c r="H306" t="s">
        <v>173</v>
      </c>
      <c r="I306" t="s">
        <v>174</v>
      </c>
      <c r="J306">
        <v>0</v>
      </c>
      <c r="K306" t="s">
        <v>12</v>
      </c>
      <c r="L306">
        <v>0</v>
      </c>
      <c r="M306">
        <v>9</v>
      </c>
      <c r="N306" t="s">
        <v>313</v>
      </c>
      <c r="O306" t="s">
        <v>94</v>
      </c>
      <c r="P306" t="str">
        <f>INDEX(Teams!$B:$B,MATCH(E306,Teams!$A:$A,0))</f>
        <v>Delhi Capitals</v>
      </c>
      <c r="Q306" t="str">
        <f>INDEX(Teams!$B:$B,MATCH(F306,Teams!$A:$A,0))</f>
        <v>Chennai Super Kings</v>
      </c>
      <c r="R306" t="str">
        <f>INDEX(Teams!$B:$B,MATCH(G306,Teams!$A:$A,0))</f>
        <v>Chennai Super Kings</v>
      </c>
      <c r="S306" t="str">
        <f>IF(K306="","No result",INDEX(Teams!$B:$B,MATCH(K306,Teams!$A:$A,0)))</f>
        <v>Chennai Super Kings</v>
      </c>
      <c r="T306" t="str">
        <f>INDEX(Venues!$B:$B,MATCH(O306,Venues!$A:$A,0))</f>
        <v>MA Chidambaram Stadium</v>
      </c>
      <c r="U306" t="str">
        <f>INDEX(Venues!$C:$C,MATCH(O306,Venues!$A:$A,0))</f>
        <v>Chennai</v>
      </c>
      <c r="V306" t="str">
        <f>IF(L306&gt;0,L306&amp;" runs",IF(M306&gt;0,M306&amp;" wickets","-"))</f>
        <v>9 wickets</v>
      </c>
      <c r="W306">
        <f>IF(G306=K306,1,0)</f>
        <v>1</v>
      </c>
      <c r="X306">
        <f>IF(L306&gt;0,L306,"")</f>
        <v/>
      </c>
      <c r="Y306">
        <f>IF(X306="","",IF(X306&gt;Stats!$B$15,"Outlier",""))</f>
        <v/>
      </c>
      <c r="Z306" t="str">
        <f>P306&amp;" vs "&amp;Q306</f>
        <v>Delhi Capitals vs Chennai Super Kings</v>
      </c>
    </row>
    <row r="307" spans="1:26" x14ac:dyDescent="0.25">
      <c r="A307">
        <v>365</v>
      </c>
      <c r="B307">
        <v>2012</v>
      </c>
      <c r="C307" s="5">
        <v>41042</v>
      </c>
      <c r="D307" t="s">
        <v>172</v>
      </c>
      <c r="E307" t="s">
        <v>41</v>
      </c>
      <c r="F307" t="s">
        <v>38</v>
      </c>
      <c r="G307" t="s">
        <v>41</v>
      </c>
      <c r="H307" t="s">
        <v>176</v>
      </c>
      <c r="I307" t="s">
        <v>174</v>
      </c>
      <c r="J307">
        <v>0</v>
      </c>
      <c r="K307" t="s">
        <v>41</v>
      </c>
      <c r="L307">
        <v>45</v>
      </c>
      <c r="M307">
        <v>0</v>
      </c>
      <c r="N307" t="s">
        <v>314</v>
      </c>
      <c r="O307" t="s">
        <v>118</v>
      </c>
      <c r="P307" t="str">
        <f>INDEX(Teams!$B:$B,MATCH(E307,Teams!$A:$A,0))</f>
        <v>Rajasthan Royals</v>
      </c>
      <c r="Q307" t="str">
        <f>INDEX(Teams!$B:$B,MATCH(F307,Teams!$A:$A,0))</f>
        <v>Pune Warriors</v>
      </c>
      <c r="R307" t="str">
        <f>INDEX(Teams!$B:$B,MATCH(G307,Teams!$A:$A,0))</f>
        <v>Rajasthan Royals</v>
      </c>
      <c r="S307" t="str">
        <f>IF(K307="","No result",INDEX(Teams!$B:$B,MATCH(K307,Teams!$A:$A,0)))</f>
        <v>Rajasthan Royals</v>
      </c>
      <c r="T307" t="str">
        <f>INDEX(Venues!$B:$B,MATCH(O307,Venues!$A:$A,0))</f>
        <v>Sawai Mansingh Stadium</v>
      </c>
      <c r="U307" t="str">
        <f>INDEX(Venues!$C:$C,MATCH(O307,Venues!$A:$A,0))</f>
        <v>Jaipur</v>
      </c>
      <c r="V307" t="str">
        <f>IF(L307&gt;0,L307&amp;" runs",IF(M307&gt;0,M307&amp;" wickets","-"))</f>
        <v>45 runs</v>
      </c>
      <c r="W307">
        <f>IF(G307=K307,1,0)</f>
        <v>1</v>
      </c>
      <c r="X307">
        <f>IF(L307&gt;0,L307,"")</f>
        <v>45</v>
      </c>
      <c r="Y307">
        <f>IF(X307="","",IF(X307&gt;Stats!$B$15,"Outlier",""))</f>
        <v/>
      </c>
      <c r="Z307" t="str">
        <f>P307&amp;" vs "&amp;Q307</f>
        <v>Rajasthan Royals vs Pune Warriors</v>
      </c>
    </row>
    <row r="308" spans="1:26" x14ac:dyDescent="0.25">
      <c r="A308">
        <v>366</v>
      </c>
      <c r="B308">
        <v>2012</v>
      </c>
      <c r="C308" s="5">
        <v>41042</v>
      </c>
      <c r="D308" t="s">
        <v>172</v>
      </c>
      <c r="E308" t="s">
        <v>16</v>
      </c>
      <c r="F308" t="s">
        <v>26</v>
      </c>
      <c r="G308" t="s">
        <v>16</v>
      </c>
      <c r="H308" t="s">
        <v>176</v>
      </c>
      <c r="I308" t="s">
        <v>174</v>
      </c>
      <c r="J308">
        <v>0</v>
      </c>
      <c r="K308" t="s">
        <v>26</v>
      </c>
      <c r="L308">
        <v>0</v>
      </c>
      <c r="M308">
        <v>4</v>
      </c>
      <c r="N308" t="s">
        <v>180</v>
      </c>
      <c r="O308" t="s">
        <v>109</v>
      </c>
      <c r="P308" t="str">
        <f>INDEX(Teams!$B:$B,MATCH(E308,Teams!$A:$A,0))</f>
        <v>Deccan Chargers</v>
      </c>
      <c r="Q308" t="str">
        <f>INDEX(Teams!$B:$B,MATCH(F308,Teams!$A:$A,0))</f>
        <v>Kings XI Punjab</v>
      </c>
      <c r="R308" t="str">
        <f>INDEX(Teams!$B:$B,MATCH(G308,Teams!$A:$A,0))</f>
        <v>Deccan Chargers</v>
      </c>
      <c r="S308" t="str">
        <f>IF(K308="","No result",INDEX(Teams!$B:$B,MATCH(K308,Teams!$A:$A,0)))</f>
        <v>Kings XI Punjab</v>
      </c>
      <c r="T308" t="str">
        <f>INDEX(Venues!$B:$B,MATCH(O308,Venues!$A:$A,0))</f>
        <v>Punjab Cricket Association IS Bindra Stadium</v>
      </c>
      <c r="U308" t="str">
        <f>INDEX(Venues!$C:$C,MATCH(O308,Venues!$A:$A,0))</f>
        <v>Chandigarh</v>
      </c>
      <c r="V308" t="str">
        <f>IF(L308&gt;0,L308&amp;" runs",IF(M308&gt;0,M308&amp;" wickets","-"))</f>
        <v>4 wickets</v>
      </c>
      <c r="W308">
        <f>IF(G308=K308,1,0)</f>
        <v>0</v>
      </c>
      <c r="X308">
        <f>IF(L308&gt;0,L308,"")</f>
        <v/>
      </c>
      <c r="Y308">
        <f>IF(X308="","",IF(X308&gt;Stats!$B$15,"Outlier",""))</f>
        <v/>
      </c>
      <c r="Z308" t="str">
        <f>P308&amp;" vs "&amp;Q308</f>
        <v>Deccan Chargers vs Kings XI Punjab</v>
      </c>
    </row>
    <row r="309" spans="1:26" x14ac:dyDescent="0.25">
      <c r="A309">
        <v>367</v>
      </c>
      <c r="B309">
        <v>2012</v>
      </c>
      <c r="C309" s="5">
        <v>41043</v>
      </c>
      <c r="D309" t="s">
        <v>172</v>
      </c>
      <c r="E309" t="s">
        <v>46</v>
      </c>
      <c r="F309" t="s">
        <v>35</v>
      </c>
      <c r="G309" t="s">
        <v>35</v>
      </c>
      <c r="H309" t="s">
        <v>173</v>
      </c>
      <c r="I309" t="s">
        <v>174</v>
      </c>
      <c r="J309">
        <v>0</v>
      </c>
      <c r="K309" t="s">
        <v>35</v>
      </c>
      <c r="L309">
        <v>0</v>
      </c>
      <c r="M309">
        <v>5</v>
      </c>
      <c r="N309" t="s">
        <v>261</v>
      </c>
      <c r="O309" t="s">
        <v>92</v>
      </c>
      <c r="P309" t="str">
        <f>INDEX(Teams!$B:$B,MATCH(E309,Teams!$A:$A,0))</f>
        <v>Royal Challengers Bangalore</v>
      </c>
      <c r="Q309" t="str">
        <f>INDEX(Teams!$B:$B,MATCH(F309,Teams!$A:$A,0))</f>
        <v>Mumbai Indians</v>
      </c>
      <c r="R309" t="str">
        <f>INDEX(Teams!$B:$B,MATCH(G309,Teams!$A:$A,0))</f>
        <v>Mumbai Indians</v>
      </c>
      <c r="S309" t="str">
        <f>IF(K309="","No result",INDEX(Teams!$B:$B,MATCH(K309,Teams!$A:$A,0)))</f>
        <v>Mumbai Indians</v>
      </c>
      <c r="T309" t="str">
        <f>INDEX(Venues!$B:$B,MATCH(O309,Venues!$A:$A,0))</f>
        <v>M Chinnaswamy Stadium</v>
      </c>
      <c r="U309" t="str">
        <f>INDEX(Venues!$C:$C,MATCH(O309,Venues!$A:$A,0))</f>
        <v>Bangalore</v>
      </c>
      <c r="V309" t="str">
        <f>IF(L309&gt;0,L309&amp;" runs",IF(M309&gt;0,M309&amp;" wickets","-"))</f>
        <v>5 wickets</v>
      </c>
      <c r="W309">
        <f>IF(G309=K309,1,0)</f>
        <v>1</v>
      </c>
      <c r="X309">
        <f>IF(L309&gt;0,L309,"")</f>
        <v/>
      </c>
      <c r="Y309">
        <f>IF(X309="","",IF(X309&gt;Stats!$B$15,"Outlier",""))</f>
        <v/>
      </c>
      <c r="Z309" t="str">
        <f>P309&amp;" vs "&amp;Q309</f>
        <v>Royal Challengers Bangalore vs Mumbai Indians</v>
      </c>
    </row>
    <row r="310" spans="1:26" x14ac:dyDescent="0.25">
      <c r="A310">
        <v>368</v>
      </c>
      <c r="B310">
        <v>2012</v>
      </c>
      <c r="C310" s="5">
        <v>41043</v>
      </c>
      <c r="D310" t="s">
        <v>172</v>
      </c>
      <c r="E310" t="s">
        <v>32</v>
      </c>
      <c r="F310" t="s">
        <v>12</v>
      </c>
      <c r="G310" t="s">
        <v>12</v>
      </c>
      <c r="H310" t="s">
        <v>173</v>
      </c>
      <c r="I310" t="s">
        <v>174</v>
      </c>
      <c r="J310">
        <v>0</v>
      </c>
      <c r="K310" t="s">
        <v>12</v>
      </c>
      <c r="L310">
        <v>0</v>
      </c>
      <c r="M310">
        <v>5</v>
      </c>
      <c r="N310" t="s">
        <v>177</v>
      </c>
      <c r="O310" t="s">
        <v>73</v>
      </c>
      <c r="P310" t="str">
        <f>INDEX(Teams!$B:$B,MATCH(E310,Teams!$A:$A,0))</f>
        <v>Kolkata Knight Riders</v>
      </c>
      <c r="Q310" t="str">
        <f>INDEX(Teams!$B:$B,MATCH(F310,Teams!$A:$A,0))</f>
        <v>Chennai Super Kings</v>
      </c>
      <c r="R310" t="str">
        <f>INDEX(Teams!$B:$B,MATCH(G310,Teams!$A:$A,0))</f>
        <v>Chennai Super Kings</v>
      </c>
      <c r="S310" t="str">
        <f>IF(K310="","No result",INDEX(Teams!$B:$B,MATCH(K310,Teams!$A:$A,0)))</f>
        <v>Chennai Super Kings</v>
      </c>
      <c r="T310" t="str">
        <f>INDEX(Venues!$B:$B,MATCH(O310,Venues!$A:$A,0))</f>
        <v>Eden Gardens</v>
      </c>
      <c r="U310" t="str">
        <f>INDEX(Venues!$C:$C,MATCH(O310,Venues!$A:$A,0))</f>
        <v>Kolkata</v>
      </c>
      <c r="V310" t="str">
        <f>IF(L310&gt;0,L310&amp;" runs",IF(M310&gt;0,M310&amp;" wickets","-"))</f>
        <v>5 wickets</v>
      </c>
      <c r="W310">
        <f>IF(G310=K310,1,0)</f>
        <v>1</v>
      </c>
      <c r="X310">
        <f>IF(L310&gt;0,L310,"")</f>
        <v/>
      </c>
      <c r="Y310">
        <f>IF(X310="","",IF(X310&gt;Stats!$B$15,"Outlier",""))</f>
        <v/>
      </c>
      <c r="Z310" t="str">
        <f>P310&amp;" vs "&amp;Q310</f>
        <v>Kolkata Knight Riders vs Chennai Super Kings</v>
      </c>
    </row>
    <row r="311" spans="1:26" x14ac:dyDescent="0.25">
      <c r="A311">
        <v>369</v>
      </c>
      <c r="B311">
        <v>2012</v>
      </c>
      <c r="C311" s="5">
        <v>41044</v>
      </c>
      <c r="D311" t="s">
        <v>172</v>
      </c>
      <c r="E311" t="s">
        <v>26</v>
      </c>
      <c r="F311" t="s">
        <v>20</v>
      </c>
      <c r="G311" t="s">
        <v>26</v>
      </c>
      <c r="H311" t="s">
        <v>176</v>
      </c>
      <c r="I311" t="s">
        <v>174</v>
      </c>
      <c r="J311">
        <v>0</v>
      </c>
      <c r="K311" t="s">
        <v>20</v>
      </c>
      <c r="L311">
        <v>0</v>
      </c>
      <c r="M311">
        <v>5</v>
      </c>
      <c r="N311" t="s">
        <v>315</v>
      </c>
      <c r="O311" t="s">
        <v>75</v>
      </c>
      <c r="P311" t="str">
        <f>INDEX(Teams!$B:$B,MATCH(E311,Teams!$A:$A,0))</f>
        <v>Kings XI Punjab</v>
      </c>
      <c r="Q311" t="str">
        <f>INDEX(Teams!$B:$B,MATCH(F311,Teams!$A:$A,0))</f>
        <v>Delhi Capitals</v>
      </c>
      <c r="R311" t="str">
        <f>INDEX(Teams!$B:$B,MATCH(G311,Teams!$A:$A,0))</f>
        <v>Kings XI Punjab</v>
      </c>
      <c r="S311" t="str">
        <f>IF(K311="","No result",INDEX(Teams!$B:$B,MATCH(K311,Teams!$A:$A,0)))</f>
        <v>Delhi Capitals</v>
      </c>
      <c r="T311" t="str">
        <f>INDEX(Venues!$B:$B,MATCH(O311,Venues!$A:$A,0))</f>
        <v>Feroz Shah Kotla</v>
      </c>
      <c r="U311" t="str">
        <f>INDEX(Venues!$C:$C,MATCH(O311,Venues!$A:$A,0))</f>
        <v>Delhi</v>
      </c>
      <c r="V311" t="str">
        <f>IF(L311&gt;0,L311&amp;" runs",IF(M311&gt;0,M311&amp;" wickets","-"))</f>
        <v>5 wickets</v>
      </c>
      <c r="W311">
        <f>IF(G311=K311,1,0)</f>
        <v>0</v>
      </c>
      <c r="X311">
        <f>IF(L311&gt;0,L311,"")</f>
        <v/>
      </c>
      <c r="Y311">
        <f>IF(X311="","",IF(X311&gt;Stats!$B$15,"Outlier",""))</f>
        <v/>
      </c>
      <c r="Z311" t="str">
        <f>P311&amp;" vs "&amp;Q311</f>
        <v>Kings XI Punjab vs Delhi Capitals</v>
      </c>
    </row>
    <row r="312" spans="1:26" x14ac:dyDescent="0.25">
      <c r="A312">
        <v>370</v>
      </c>
      <c r="B312">
        <v>2012</v>
      </c>
      <c r="C312" s="5">
        <v>41045</v>
      </c>
      <c r="D312" t="s">
        <v>172</v>
      </c>
      <c r="E312" t="s">
        <v>32</v>
      </c>
      <c r="F312" t="s">
        <v>35</v>
      </c>
      <c r="G312" t="s">
        <v>35</v>
      </c>
      <c r="H312" t="s">
        <v>173</v>
      </c>
      <c r="I312" t="s">
        <v>174</v>
      </c>
      <c r="J312">
        <v>0</v>
      </c>
      <c r="K312" t="s">
        <v>32</v>
      </c>
      <c r="L312">
        <v>32</v>
      </c>
      <c r="M312">
        <v>0</v>
      </c>
      <c r="N312" t="s">
        <v>306</v>
      </c>
      <c r="O312" t="s">
        <v>138</v>
      </c>
      <c r="P312" t="str">
        <f>INDEX(Teams!$B:$B,MATCH(E312,Teams!$A:$A,0))</f>
        <v>Kolkata Knight Riders</v>
      </c>
      <c r="Q312" t="str">
        <f>INDEX(Teams!$B:$B,MATCH(F312,Teams!$A:$A,0))</f>
        <v>Mumbai Indians</v>
      </c>
      <c r="R312" t="str">
        <f>INDEX(Teams!$B:$B,MATCH(G312,Teams!$A:$A,0))</f>
        <v>Mumbai Indians</v>
      </c>
      <c r="S312" t="str">
        <f>IF(K312="","No result",INDEX(Teams!$B:$B,MATCH(K312,Teams!$A:$A,0)))</f>
        <v>Kolkata Knight Riders</v>
      </c>
      <c r="T312" t="str">
        <f>INDEX(Venues!$B:$B,MATCH(O312,Venues!$A:$A,0))</f>
        <v>Wankhede Stadium</v>
      </c>
      <c r="U312" t="str">
        <f>INDEX(Venues!$C:$C,MATCH(O312,Venues!$A:$A,0))</f>
        <v>Mumbai</v>
      </c>
      <c r="V312" t="str">
        <f>IF(L312&gt;0,L312&amp;" runs",IF(M312&gt;0,M312&amp;" wickets","-"))</f>
        <v>32 runs</v>
      </c>
      <c r="W312">
        <f>IF(G312=K312,1,0)</f>
        <v>0</v>
      </c>
      <c r="X312">
        <f>IF(L312&gt;0,L312,"")</f>
        <v>32</v>
      </c>
      <c r="Y312">
        <f>IF(X312="","",IF(X312&gt;Stats!$B$15,"Outlier",""))</f>
        <v/>
      </c>
      <c r="Z312" t="str">
        <f>P312&amp;" vs "&amp;Q312</f>
        <v>Kolkata Knight Riders vs Mumbai Indians</v>
      </c>
    </row>
    <row r="313" spans="1:26" x14ac:dyDescent="0.25">
      <c r="A313">
        <v>371</v>
      </c>
      <c r="B313">
        <v>2012</v>
      </c>
      <c r="C313" s="5">
        <v>41046</v>
      </c>
      <c r="D313" t="s">
        <v>172</v>
      </c>
      <c r="E313" t="s">
        <v>12</v>
      </c>
      <c r="F313" t="s">
        <v>26</v>
      </c>
      <c r="G313" t="s">
        <v>26</v>
      </c>
      <c r="H313" t="s">
        <v>173</v>
      </c>
      <c r="I313" t="s">
        <v>174</v>
      </c>
      <c r="J313">
        <v>0</v>
      </c>
      <c r="K313" t="s">
        <v>26</v>
      </c>
      <c r="L313">
        <v>0</v>
      </c>
      <c r="M313">
        <v>6</v>
      </c>
      <c r="N313" t="s">
        <v>187</v>
      </c>
      <c r="O313" t="s">
        <v>80</v>
      </c>
      <c r="P313" t="str">
        <f>INDEX(Teams!$B:$B,MATCH(E313,Teams!$A:$A,0))</f>
        <v>Chennai Super Kings</v>
      </c>
      <c r="Q313" t="str">
        <f>INDEX(Teams!$B:$B,MATCH(F313,Teams!$A:$A,0))</f>
        <v>Kings XI Punjab</v>
      </c>
      <c r="R313" t="str">
        <f>INDEX(Teams!$B:$B,MATCH(G313,Teams!$A:$A,0))</f>
        <v>Kings XI Punjab</v>
      </c>
      <c r="S313" t="str">
        <f>IF(K313="","No result",INDEX(Teams!$B:$B,MATCH(K313,Teams!$A:$A,0)))</f>
        <v>Kings XI Punjab</v>
      </c>
      <c r="T313" t="str">
        <f>INDEX(Venues!$B:$B,MATCH(O313,Venues!$A:$A,0))</f>
        <v>Himachal Pradesh Cricket Association Stadium</v>
      </c>
      <c r="U313" t="str">
        <f>INDEX(Venues!$C:$C,MATCH(O313,Venues!$A:$A,0))</f>
        <v>Dharamsala</v>
      </c>
      <c r="V313" t="str">
        <f>IF(L313&gt;0,L313&amp;" runs",IF(M313&gt;0,M313&amp;" wickets","-"))</f>
        <v>6 wickets</v>
      </c>
      <c r="W313">
        <f>IF(G313=K313,1,0)</f>
        <v>1</v>
      </c>
      <c r="X313">
        <f>IF(L313&gt;0,L313,"")</f>
        <v/>
      </c>
      <c r="Y313">
        <f>IF(X313="","",IF(X313&gt;Stats!$B$15,"Outlier",""))</f>
        <v/>
      </c>
      <c r="Z313" t="str">
        <f>P313&amp;" vs "&amp;Q313</f>
        <v>Chennai Super Kings vs Kings XI Punjab</v>
      </c>
    </row>
    <row r="314" spans="1:26" x14ac:dyDescent="0.25">
      <c r="A314">
        <v>372</v>
      </c>
      <c r="B314">
        <v>2012</v>
      </c>
      <c r="C314" s="5">
        <v>41046</v>
      </c>
      <c r="D314" t="s">
        <v>172</v>
      </c>
      <c r="E314" t="s">
        <v>46</v>
      </c>
      <c r="F314" t="s">
        <v>20</v>
      </c>
      <c r="G314" t="s">
        <v>20</v>
      </c>
      <c r="H314" t="s">
        <v>173</v>
      </c>
      <c r="I314" t="s">
        <v>174</v>
      </c>
      <c r="J314">
        <v>0</v>
      </c>
      <c r="K314" t="s">
        <v>46</v>
      </c>
      <c r="L314">
        <v>21</v>
      </c>
      <c r="M314">
        <v>0</v>
      </c>
      <c r="N314" t="s">
        <v>222</v>
      </c>
      <c r="O314" t="s">
        <v>75</v>
      </c>
      <c r="P314" t="str">
        <f>INDEX(Teams!$B:$B,MATCH(E314,Teams!$A:$A,0))</f>
        <v>Royal Challengers Bangalore</v>
      </c>
      <c r="Q314" t="str">
        <f>INDEX(Teams!$B:$B,MATCH(F314,Teams!$A:$A,0))</f>
        <v>Delhi Capitals</v>
      </c>
      <c r="R314" t="str">
        <f>INDEX(Teams!$B:$B,MATCH(G314,Teams!$A:$A,0))</f>
        <v>Delhi Capitals</v>
      </c>
      <c r="S314" t="str">
        <f>IF(K314="","No result",INDEX(Teams!$B:$B,MATCH(K314,Teams!$A:$A,0)))</f>
        <v>Royal Challengers Bangalore</v>
      </c>
      <c r="T314" t="str">
        <f>INDEX(Venues!$B:$B,MATCH(O314,Venues!$A:$A,0))</f>
        <v>Feroz Shah Kotla</v>
      </c>
      <c r="U314" t="str">
        <f>INDEX(Venues!$C:$C,MATCH(O314,Venues!$A:$A,0))</f>
        <v>Delhi</v>
      </c>
      <c r="V314" t="str">
        <f>IF(L314&gt;0,L314&amp;" runs",IF(M314&gt;0,M314&amp;" wickets","-"))</f>
        <v>21 runs</v>
      </c>
      <c r="W314">
        <f>IF(G314=K314,1,0)</f>
        <v>0</v>
      </c>
      <c r="X314">
        <f>IF(L314&gt;0,L314,"")</f>
        <v>21</v>
      </c>
      <c r="Y314">
        <f>IF(X314="","",IF(X314&gt;Stats!$B$15,"Outlier",""))</f>
        <v/>
      </c>
      <c r="Z314" t="str">
        <f>P314&amp;" vs "&amp;Q314</f>
        <v>Royal Challengers Bangalore vs Delhi Capitals</v>
      </c>
    </row>
    <row r="315" spans="1:26" x14ac:dyDescent="0.25">
      <c r="A315">
        <v>373</v>
      </c>
      <c r="B315">
        <v>2012</v>
      </c>
      <c r="C315" s="5">
        <v>41047</v>
      </c>
      <c r="D315" t="s">
        <v>172</v>
      </c>
      <c r="E315" t="s">
        <v>41</v>
      </c>
      <c r="F315" t="s">
        <v>16</v>
      </c>
      <c r="G315" t="s">
        <v>41</v>
      </c>
      <c r="H315" t="s">
        <v>176</v>
      </c>
      <c r="I315" t="s">
        <v>174</v>
      </c>
      <c r="J315">
        <v>0</v>
      </c>
      <c r="K315" t="s">
        <v>16</v>
      </c>
      <c r="L315">
        <v>0</v>
      </c>
      <c r="M315">
        <v>5</v>
      </c>
      <c r="N315" t="s">
        <v>279</v>
      </c>
      <c r="O315" t="s">
        <v>111</v>
      </c>
      <c r="P315" t="str">
        <f>INDEX(Teams!$B:$B,MATCH(E315,Teams!$A:$A,0))</f>
        <v>Rajasthan Royals</v>
      </c>
      <c r="Q315" t="str">
        <f>INDEX(Teams!$B:$B,MATCH(F315,Teams!$A:$A,0))</f>
        <v>Deccan Chargers</v>
      </c>
      <c r="R315" t="str">
        <f>INDEX(Teams!$B:$B,MATCH(G315,Teams!$A:$A,0))</f>
        <v>Rajasthan Royals</v>
      </c>
      <c r="S315" t="str">
        <f>IF(K315="","No result",INDEX(Teams!$B:$B,MATCH(K315,Teams!$A:$A,0)))</f>
        <v>Deccan Chargers</v>
      </c>
      <c r="T315" t="str">
        <f>INDEX(Venues!$B:$B,MATCH(O315,Venues!$A:$A,0))</f>
        <v>Rajiv Gandhi International Stadium</v>
      </c>
      <c r="U315" t="str">
        <f>INDEX(Venues!$C:$C,MATCH(O315,Venues!$A:$A,0))</f>
        <v>Hyderabad</v>
      </c>
      <c r="V315" t="str">
        <f>IF(L315&gt;0,L315&amp;" runs",IF(M315&gt;0,M315&amp;" wickets","-"))</f>
        <v>5 wickets</v>
      </c>
      <c r="W315">
        <f>IF(G315=K315,1,0)</f>
        <v>0</v>
      </c>
      <c r="X315">
        <f>IF(L315&gt;0,L315,"")</f>
        <v/>
      </c>
      <c r="Y315">
        <f>IF(X315="","",IF(X315&gt;Stats!$B$15,"Outlier",""))</f>
        <v/>
      </c>
      <c r="Z315" t="str">
        <f>P315&amp;" vs "&amp;Q315</f>
        <v>Rajasthan Royals vs Deccan Chargers</v>
      </c>
    </row>
    <row r="316" spans="1:26" x14ac:dyDescent="0.25">
      <c r="A316">
        <v>374</v>
      </c>
      <c r="B316">
        <v>2012</v>
      </c>
      <c r="C316" s="5">
        <v>41048</v>
      </c>
      <c r="D316" t="s">
        <v>172</v>
      </c>
      <c r="E316" t="s">
        <v>26</v>
      </c>
      <c r="F316" t="s">
        <v>20</v>
      </c>
      <c r="G316" t="s">
        <v>20</v>
      </c>
      <c r="H316" t="s">
        <v>173</v>
      </c>
      <c r="I316" t="s">
        <v>174</v>
      </c>
      <c r="J316">
        <v>0</v>
      </c>
      <c r="K316" t="s">
        <v>20</v>
      </c>
      <c r="L316">
        <v>0</v>
      </c>
      <c r="M316">
        <v>6</v>
      </c>
      <c r="N316" t="s">
        <v>315</v>
      </c>
      <c r="O316" t="s">
        <v>80</v>
      </c>
      <c r="P316" t="str">
        <f>INDEX(Teams!$B:$B,MATCH(E316,Teams!$A:$A,0))</f>
        <v>Kings XI Punjab</v>
      </c>
      <c r="Q316" t="str">
        <f>INDEX(Teams!$B:$B,MATCH(F316,Teams!$A:$A,0))</f>
        <v>Delhi Capitals</v>
      </c>
      <c r="R316" t="str">
        <f>INDEX(Teams!$B:$B,MATCH(G316,Teams!$A:$A,0))</f>
        <v>Delhi Capitals</v>
      </c>
      <c r="S316" t="str">
        <f>IF(K316="","No result",INDEX(Teams!$B:$B,MATCH(K316,Teams!$A:$A,0)))</f>
        <v>Delhi Capitals</v>
      </c>
      <c r="T316" t="str">
        <f>INDEX(Venues!$B:$B,MATCH(O316,Venues!$A:$A,0))</f>
        <v>Himachal Pradesh Cricket Association Stadium</v>
      </c>
      <c r="U316" t="str">
        <f>INDEX(Venues!$C:$C,MATCH(O316,Venues!$A:$A,0))</f>
        <v>Dharamsala</v>
      </c>
      <c r="V316" t="str">
        <f>IF(L316&gt;0,L316&amp;" runs",IF(M316&gt;0,M316&amp;" wickets","-"))</f>
        <v>6 wickets</v>
      </c>
      <c r="W316">
        <f>IF(G316=K316,1,0)</f>
        <v>1</v>
      </c>
      <c r="X316">
        <f>IF(L316&gt;0,L316,"")</f>
        <v/>
      </c>
      <c r="Y316">
        <f>IF(X316="","",IF(X316&gt;Stats!$B$15,"Outlier",""))</f>
        <v/>
      </c>
      <c r="Z316" t="str">
        <f>P316&amp;" vs "&amp;Q316</f>
        <v>Kings XI Punjab vs Delhi Capitals</v>
      </c>
    </row>
    <row r="317" spans="1:26" x14ac:dyDescent="0.25">
      <c r="A317">
        <v>375</v>
      </c>
      <c r="B317">
        <v>2012</v>
      </c>
      <c r="C317" s="5">
        <v>41048</v>
      </c>
      <c r="D317" t="s">
        <v>172</v>
      </c>
      <c r="E317" t="s">
        <v>32</v>
      </c>
      <c r="F317" t="s">
        <v>38</v>
      </c>
      <c r="G317" t="s">
        <v>32</v>
      </c>
      <c r="H317" t="s">
        <v>176</v>
      </c>
      <c r="I317" t="s">
        <v>174</v>
      </c>
      <c r="J317">
        <v>0</v>
      </c>
      <c r="K317" t="s">
        <v>32</v>
      </c>
      <c r="L317">
        <v>34</v>
      </c>
      <c r="M317">
        <v>0</v>
      </c>
      <c r="N317" t="s">
        <v>304</v>
      </c>
      <c r="O317" t="s">
        <v>96</v>
      </c>
      <c r="P317" t="str">
        <f>INDEX(Teams!$B:$B,MATCH(E317,Teams!$A:$A,0))</f>
        <v>Kolkata Knight Riders</v>
      </c>
      <c r="Q317" t="str">
        <f>INDEX(Teams!$B:$B,MATCH(F317,Teams!$A:$A,0))</f>
        <v>Pune Warriors</v>
      </c>
      <c r="R317" t="str">
        <f>INDEX(Teams!$B:$B,MATCH(G317,Teams!$A:$A,0))</f>
        <v>Kolkata Knight Riders</v>
      </c>
      <c r="S317" t="str">
        <f>IF(K317="","No result",INDEX(Teams!$B:$B,MATCH(K317,Teams!$A:$A,0)))</f>
        <v>Kolkata Knight Riders</v>
      </c>
      <c r="T317" t="str">
        <f>INDEX(Venues!$B:$B,MATCH(O317,Venues!$A:$A,0))</f>
        <v>Maharashtra Cricket Association Stadium</v>
      </c>
      <c r="U317" t="str">
        <f>INDEX(Venues!$C:$C,MATCH(O317,Venues!$A:$A,0))</f>
        <v>Pune</v>
      </c>
      <c r="V317" t="str">
        <f>IF(L317&gt;0,L317&amp;" runs",IF(M317&gt;0,M317&amp;" wickets","-"))</f>
        <v>34 runs</v>
      </c>
      <c r="W317">
        <f>IF(G317=K317,1,0)</f>
        <v>1</v>
      </c>
      <c r="X317">
        <f>IF(L317&gt;0,L317,"")</f>
        <v>34</v>
      </c>
      <c r="Y317">
        <f>IF(X317="","",IF(X317&gt;Stats!$B$15,"Outlier",""))</f>
        <v/>
      </c>
      <c r="Z317" t="str">
        <f>P317&amp;" vs "&amp;Q317</f>
        <v>Kolkata Knight Riders vs Pune Warriors</v>
      </c>
    </row>
    <row r="318" spans="1:26" x14ac:dyDescent="0.25">
      <c r="A318">
        <v>376</v>
      </c>
      <c r="B318">
        <v>2012</v>
      </c>
      <c r="C318" s="5">
        <v>41049</v>
      </c>
      <c r="D318" t="s">
        <v>172</v>
      </c>
      <c r="E318" t="s">
        <v>16</v>
      </c>
      <c r="F318" t="s">
        <v>46</v>
      </c>
      <c r="G318" t="s">
        <v>46</v>
      </c>
      <c r="H318" t="s">
        <v>173</v>
      </c>
      <c r="I318" t="s">
        <v>174</v>
      </c>
      <c r="J318">
        <v>0</v>
      </c>
      <c r="K318" t="s">
        <v>16</v>
      </c>
      <c r="L318">
        <v>9</v>
      </c>
      <c r="M318">
        <v>0</v>
      </c>
      <c r="N318" t="s">
        <v>279</v>
      </c>
      <c r="O318" t="s">
        <v>111</v>
      </c>
      <c r="P318" t="str">
        <f>INDEX(Teams!$B:$B,MATCH(E318,Teams!$A:$A,0))</f>
        <v>Deccan Chargers</v>
      </c>
      <c r="Q318" t="str">
        <f>INDEX(Teams!$B:$B,MATCH(F318,Teams!$A:$A,0))</f>
        <v>Royal Challengers Bangalore</v>
      </c>
      <c r="R318" t="str">
        <f>INDEX(Teams!$B:$B,MATCH(G318,Teams!$A:$A,0))</f>
        <v>Royal Challengers Bangalore</v>
      </c>
      <c r="S318" t="str">
        <f>IF(K318="","No result",INDEX(Teams!$B:$B,MATCH(K318,Teams!$A:$A,0)))</f>
        <v>Deccan Chargers</v>
      </c>
      <c r="T318" t="str">
        <f>INDEX(Venues!$B:$B,MATCH(O318,Venues!$A:$A,0))</f>
        <v>Rajiv Gandhi International Stadium</v>
      </c>
      <c r="U318" t="str">
        <f>INDEX(Venues!$C:$C,MATCH(O318,Venues!$A:$A,0))</f>
        <v>Hyderabad</v>
      </c>
      <c r="V318" t="str">
        <f>IF(L318&gt;0,L318&amp;" runs",IF(M318&gt;0,M318&amp;" wickets","-"))</f>
        <v>9 runs</v>
      </c>
      <c r="W318">
        <f>IF(G318=K318,1,0)</f>
        <v>0</v>
      </c>
      <c r="X318">
        <f>IF(L318&gt;0,L318,"")</f>
        <v>9</v>
      </c>
      <c r="Y318">
        <f>IF(X318="","",IF(X318&gt;Stats!$B$15,"Outlier",""))</f>
        <v/>
      </c>
      <c r="Z318" t="str">
        <f>P318&amp;" vs "&amp;Q318</f>
        <v>Deccan Chargers vs Royal Challengers Bangalore</v>
      </c>
    </row>
    <row r="319" spans="1:26" x14ac:dyDescent="0.25">
      <c r="A319">
        <v>377</v>
      </c>
      <c r="B319">
        <v>2012</v>
      </c>
      <c r="C319" s="5">
        <v>41049</v>
      </c>
      <c r="D319" t="s">
        <v>172</v>
      </c>
      <c r="E319" t="s">
        <v>41</v>
      </c>
      <c r="F319" t="s">
        <v>35</v>
      </c>
      <c r="G319" t="s">
        <v>41</v>
      </c>
      <c r="H319" t="s">
        <v>176</v>
      </c>
      <c r="I319" t="s">
        <v>174</v>
      </c>
      <c r="J319">
        <v>0</v>
      </c>
      <c r="K319" t="s">
        <v>35</v>
      </c>
      <c r="L319">
        <v>0</v>
      </c>
      <c r="M319">
        <v>10</v>
      </c>
      <c r="N319" t="s">
        <v>238</v>
      </c>
      <c r="O319" t="s">
        <v>118</v>
      </c>
      <c r="P319" t="str">
        <f>INDEX(Teams!$B:$B,MATCH(E319,Teams!$A:$A,0))</f>
        <v>Rajasthan Royals</v>
      </c>
      <c r="Q319" t="str">
        <f>INDEX(Teams!$B:$B,MATCH(F319,Teams!$A:$A,0))</f>
        <v>Mumbai Indians</v>
      </c>
      <c r="R319" t="str">
        <f>INDEX(Teams!$B:$B,MATCH(G319,Teams!$A:$A,0))</f>
        <v>Rajasthan Royals</v>
      </c>
      <c r="S319" t="str">
        <f>IF(K319="","No result",INDEX(Teams!$B:$B,MATCH(K319,Teams!$A:$A,0)))</f>
        <v>Mumbai Indians</v>
      </c>
      <c r="T319" t="str">
        <f>INDEX(Venues!$B:$B,MATCH(O319,Venues!$A:$A,0))</f>
        <v>Sawai Mansingh Stadium</v>
      </c>
      <c r="U319" t="str">
        <f>INDEX(Venues!$C:$C,MATCH(O319,Venues!$A:$A,0))</f>
        <v>Jaipur</v>
      </c>
      <c r="V319" t="str">
        <f>IF(L319&gt;0,L319&amp;" runs",IF(M319&gt;0,M319&amp;" wickets","-"))</f>
        <v>10 wickets</v>
      </c>
      <c r="W319">
        <f>IF(G319=K319,1,0)</f>
        <v>0</v>
      </c>
      <c r="X319">
        <f>IF(L319&gt;0,L319,"")</f>
        <v/>
      </c>
      <c r="Y319">
        <f>IF(X319="","",IF(X319&gt;Stats!$B$15,"Outlier",""))</f>
        <v/>
      </c>
      <c r="Z319" t="str">
        <f>P319&amp;" vs "&amp;Q319</f>
        <v>Rajasthan Royals vs Mumbai Indians</v>
      </c>
    </row>
    <row r="320" spans="1:26" x14ac:dyDescent="0.25">
      <c r="A320">
        <v>378</v>
      </c>
      <c r="B320">
        <v>2012</v>
      </c>
      <c r="C320" s="5">
        <v>41051</v>
      </c>
      <c r="D320" t="s">
        <v>172</v>
      </c>
      <c r="E320" t="s">
        <v>32</v>
      </c>
      <c r="F320" t="s">
        <v>20</v>
      </c>
      <c r="G320" t="s">
        <v>32</v>
      </c>
      <c r="H320" t="s">
        <v>176</v>
      </c>
      <c r="I320" t="s">
        <v>174</v>
      </c>
      <c r="J320">
        <v>0</v>
      </c>
      <c r="K320" t="s">
        <v>32</v>
      </c>
      <c r="L320">
        <v>18</v>
      </c>
      <c r="M320">
        <v>0</v>
      </c>
      <c r="N320" t="s">
        <v>184</v>
      </c>
      <c r="O320" t="s">
        <v>96</v>
      </c>
      <c r="P320" t="str">
        <f>INDEX(Teams!$B:$B,MATCH(E320,Teams!$A:$A,0))</f>
        <v>Kolkata Knight Riders</v>
      </c>
      <c r="Q320" t="str">
        <f>INDEX(Teams!$B:$B,MATCH(F320,Teams!$A:$A,0))</f>
        <v>Delhi Capitals</v>
      </c>
      <c r="R320" t="str">
        <f>INDEX(Teams!$B:$B,MATCH(G320,Teams!$A:$A,0))</f>
        <v>Kolkata Knight Riders</v>
      </c>
      <c r="S320" t="str">
        <f>IF(K320="","No result",INDEX(Teams!$B:$B,MATCH(K320,Teams!$A:$A,0)))</f>
        <v>Kolkata Knight Riders</v>
      </c>
      <c r="T320" t="str">
        <f>INDEX(Venues!$B:$B,MATCH(O320,Venues!$A:$A,0))</f>
        <v>Maharashtra Cricket Association Stadium</v>
      </c>
      <c r="U320" t="str">
        <f>INDEX(Venues!$C:$C,MATCH(O320,Venues!$A:$A,0))</f>
        <v>Pune</v>
      </c>
      <c r="V320" t="str">
        <f>IF(L320&gt;0,L320&amp;" runs",IF(M320&gt;0,M320&amp;" wickets","-"))</f>
        <v>18 runs</v>
      </c>
      <c r="W320">
        <f>IF(G320=K320,1,0)</f>
        <v>1</v>
      </c>
      <c r="X320">
        <f>IF(L320&gt;0,L320,"")</f>
        <v>18</v>
      </c>
      <c r="Y320">
        <f>IF(X320="","",IF(X320&gt;Stats!$B$15,"Outlier",""))</f>
        <v/>
      </c>
      <c r="Z320" t="str">
        <f>P320&amp;" vs "&amp;Q320</f>
        <v>Kolkata Knight Riders vs Delhi Capitals</v>
      </c>
    </row>
    <row r="321" spans="1:26" x14ac:dyDescent="0.25">
      <c r="A321">
        <v>379</v>
      </c>
      <c r="B321">
        <v>2012</v>
      </c>
      <c r="C321" s="5">
        <v>41052</v>
      </c>
      <c r="D321" t="s">
        <v>172</v>
      </c>
      <c r="E321" t="s">
        <v>12</v>
      </c>
      <c r="F321" t="s">
        <v>35</v>
      </c>
      <c r="G321" t="s">
        <v>35</v>
      </c>
      <c r="H321" t="s">
        <v>173</v>
      </c>
      <c r="I321" t="s">
        <v>174</v>
      </c>
      <c r="J321">
        <v>0</v>
      </c>
      <c r="K321" t="s">
        <v>12</v>
      </c>
      <c r="L321">
        <v>38</v>
      </c>
      <c r="M321">
        <v>0</v>
      </c>
      <c r="N321" t="s">
        <v>189</v>
      </c>
      <c r="O321" t="s">
        <v>92</v>
      </c>
      <c r="P321" t="str">
        <f>INDEX(Teams!$B:$B,MATCH(E321,Teams!$A:$A,0))</f>
        <v>Chennai Super Kings</v>
      </c>
      <c r="Q321" t="str">
        <f>INDEX(Teams!$B:$B,MATCH(F321,Teams!$A:$A,0))</f>
        <v>Mumbai Indians</v>
      </c>
      <c r="R321" t="str">
        <f>INDEX(Teams!$B:$B,MATCH(G321,Teams!$A:$A,0))</f>
        <v>Mumbai Indians</v>
      </c>
      <c r="S321" t="str">
        <f>IF(K321="","No result",INDEX(Teams!$B:$B,MATCH(K321,Teams!$A:$A,0)))</f>
        <v>Chennai Super Kings</v>
      </c>
      <c r="T321" t="str">
        <f>INDEX(Venues!$B:$B,MATCH(O321,Venues!$A:$A,0))</f>
        <v>M Chinnaswamy Stadium</v>
      </c>
      <c r="U321" t="str">
        <f>INDEX(Venues!$C:$C,MATCH(O321,Venues!$A:$A,0))</f>
        <v>Bangalore</v>
      </c>
      <c r="V321" t="str">
        <f>IF(L321&gt;0,L321&amp;" runs",IF(M321&gt;0,M321&amp;" wickets","-"))</f>
        <v>38 runs</v>
      </c>
      <c r="W321">
        <f>IF(G321=K321,1,0)</f>
        <v>0</v>
      </c>
      <c r="X321">
        <f>IF(L321&gt;0,L321,"")</f>
        <v>38</v>
      </c>
      <c r="Y321">
        <f>IF(X321="","",IF(X321&gt;Stats!$B$15,"Outlier",""))</f>
        <v/>
      </c>
      <c r="Z321" t="str">
        <f>P321&amp;" vs "&amp;Q321</f>
        <v>Chennai Super Kings vs Mumbai Indians</v>
      </c>
    </row>
    <row r="322" spans="1:26" x14ac:dyDescent="0.25">
      <c r="A322">
        <v>380</v>
      </c>
      <c r="B322">
        <v>2012</v>
      </c>
      <c r="C322" s="5">
        <v>41054</v>
      </c>
      <c r="D322" t="s">
        <v>172</v>
      </c>
      <c r="E322" t="s">
        <v>12</v>
      </c>
      <c r="F322" t="s">
        <v>20</v>
      </c>
      <c r="G322" t="s">
        <v>20</v>
      </c>
      <c r="H322" t="s">
        <v>173</v>
      </c>
      <c r="I322" t="s">
        <v>174</v>
      </c>
      <c r="J322">
        <v>0</v>
      </c>
      <c r="K322" t="s">
        <v>12</v>
      </c>
      <c r="L322">
        <v>86</v>
      </c>
      <c r="M322">
        <v>0</v>
      </c>
      <c r="N322" t="s">
        <v>259</v>
      </c>
      <c r="O322" t="s">
        <v>94</v>
      </c>
      <c r="P322" t="str">
        <f>INDEX(Teams!$B:$B,MATCH(E322,Teams!$A:$A,0))</f>
        <v>Chennai Super Kings</v>
      </c>
      <c r="Q322" t="str">
        <f>INDEX(Teams!$B:$B,MATCH(F322,Teams!$A:$A,0))</f>
        <v>Delhi Capitals</v>
      </c>
      <c r="R322" t="str">
        <f>INDEX(Teams!$B:$B,MATCH(G322,Teams!$A:$A,0))</f>
        <v>Delhi Capitals</v>
      </c>
      <c r="S322" t="str">
        <f>IF(K322="","No result",INDEX(Teams!$B:$B,MATCH(K322,Teams!$A:$A,0)))</f>
        <v>Chennai Super Kings</v>
      </c>
      <c r="T322" t="str">
        <f>INDEX(Venues!$B:$B,MATCH(O322,Venues!$A:$A,0))</f>
        <v>MA Chidambaram Stadium</v>
      </c>
      <c r="U322" t="str">
        <f>INDEX(Venues!$C:$C,MATCH(O322,Venues!$A:$A,0))</f>
        <v>Chennai</v>
      </c>
      <c r="V322" t="str">
        <f>IF(L322&gt;0,L322&amp;" runs",IF(M322&gt;0,M322&amp;" wickets","-"))</f>
        <v>86 runs</v>
      </c>
      <c r="W322">
        <f>IF(G322=K322,1,0)</f>
        <v>0</v>
      </c>
      <c r="X322">
        <f>IF(L322&gt;0,L322,"")</f>
        <v>86</v>
      </c>
      <c r="Y322" t="str">
        <f>IF(X322="","",IF(X322&gt;Stats!$B$15,"Outlier",""))</f>
        <v>Outlier</v>
      </c>
      <c r="Z322" t="str">
        <f>P322&amp;" vs "&amp;Q322</f>
        <v>Chennai Super Kings vs Delhi Capitals</v>
      </c>
    </row>
    <row r="323" spans="1:26" x14ac:dyDescent="0.25">
      <c r="A323">
        <v>381</v>
      </c>
      <c r="B323">
        <v>2012</v>
      </c>
      <c r="C323" s="5">
        <v>41056</v>
      </c>
      <c r="D323" t="s">
        <v>216</v>
      </c>
      <c r="E323" t="s">
        <v>12</v>
      </c>
      <c r="F323" t="s">
        <v>32</v>
      </c>
      <c r="G323" t="s">
        <v>12</v>
      </c>
      <c r="H323" t="s">
        <v>176</v>
      </c>
      <c r="I323" t="s">
        <v>174</v>
      </c>
      <c r="J323">
        <v>0</v>
      </c>
      <c r="K323" t="s">
        <v>32</v>
      </c>
      <c r="L323">
        <v>0</v>
      </c>
      <c r="M323">
        <v>5</v>
      </c>
      <c r="N323" t="s">
        <v>316</v>
      </c>
      <c r="O323" t="s">
        <v>94</v>
      </c>
      <c r="P323" t="str">
        <f>INDEX(Teams!$B:$B,MATCH(E323,Teams!$A:$A,0))</f>
        <v>Chennai Super Kings</v>
      </c>
      <c r="Q323" t="str">
        <f>INDEX(Teams!$B:$B,MATCH(F323,Teams!$A:$A,0))</f>
        <v>Kolkata Knight Riders</v>
      </c>
      <c r="R323" t="str">
        <f>INDEX(Teams!$B:$B,MATCH(G323,Teams!$A:$A,0))</f>
        <v>Chennai Super Kings</v>
      </c>
      <c r="S323" t="str">
        <f>IF(K323="","No result",INDEX(Teams!$B:$B,MATCH(K323,Teams!$A:$A,0)))</f>
        <v>Kolkata Knight Riders</v>
      </c>
      <c r="T323" t="str">
        <f>INDEX(Venues!$B:$B,MATCH(O323,Venues!$A:$A,0))</f>
        <v>MA Chidambaram Stadium</v>
      </c>
      <c r="U323" t="str">
        <f>INDEX(Venues!$C:$C,MATCH(O323,Venues!$A:$A,0))</f>
        <v>Chennai</v>
      </c>
      <c r="V323" t="str">
        <f>IF(L323&gt;0,L323&amp;" runs",IF(M323&gt;0,M323&amp;" wickets","-"))</f>
        <v>5 wickets</v>
      </c>
      <c r="W323">
        <f>IF(G323=K323,1,0)</f>
        <v>0</v>
      </c>
      <c r="X323">
        <f>IF(L323&gt;0,L323,"")</f>
        <v/>
      </c>
      <c r="Y323">
        <f>IF(X323="","",IF(X323&gt;Stats!$B$15,"Outlier",""))</f>
        <v/>
      </c>
      <c r="Z323" t="str">
        <f>P323&amp;" vs "&amp;Q323</f>
        <v>Chennai Super Kings vs Kolkata Knight Riders</v>
      </c>
    </row>
    <row r="324" spans="1:26" x14ac:dyDescent="0.25">
      <c r="A324">
        <v>382</v>
      </c>
      <c r="B324">
        <v>2013</v>
      </c>
      <c r="C324" s="5">
        <v>41367</v>
      </c>
      <c r="D324" t="s">
        <v>172</v>
      </c>
      <c r="E324" t="s">
        <v>20</v>
      </c>
      <c r="F324" t="s">
        <v>32</v>
      </c>
      <c r="G324" t="s">
        <v>32</v>
      </c>
      <c r="H324" t="s">
        <v>173</v>
      </c>
      <c r="I324" t="s">
        <v>174</v>
      </c>
      <c r="J324">
        <v>0</v>
      </c>
      <c r="K324" t="s">
        <v>32</v>
      </c>
      <c r="L324">
        <v>0</v>
      </c>
      <c r="M324">
        <v>6</v>
      </c>
      <c r="N324" t="s">
        <v>306</v>
      </c>
      <c r="O324" t="s">
        <v>73</v>
      </c>
      <c r="P324" t="str">
        <f>INDEX(Teams!$B:$B,MATCH(E324,Teams!$A:$A,0))</f>
        <v>Delhi Capitals</v>
      </c>
      <c r="Q324" t="str">
        <f>INDEX(Teams!$B:$B,MATCH(F324,Teams!$A:$A,0))</f>
        <v>Kolkata Knight Riders</v>
      </c>
      <c r="R324" t="str">
        <f>INDEX(Teams!$B:$B,MATCH(G324,Teams!$A:$A,0))</f>
        <v>Kolkata Knight Riders</v>
      </c>
      <c r="S324" t="str">
        <f>IF(K324="","No result",INDEX(Teams!$B:$B,MATCH(K324,Teams!$A:$A,0)))</f>
        <v>Kolkata Knight Riders</v>
      </c>
      <c r="T324" t="str">
        <f>INDEX(Venues!$B:$B,MATCH(O324,Venues!$A:$A,0))</f>
        <v>Eden Gardens</v>
      </c>
      <c r="U324" t="str">
        <f>INDEX(Venues!$C:$C,MATCH(O324,Venues!$A:$A,0))</f>
        <v>Kolkata</v>
      </c>
      <c r="V324" t="str">
        <f>IF(L324&gt;0,L324&amp;" runs",IF(M324&gt;0,M324&amp;" wickets","-"))</f>
        <v>6 wickets</v>
      </c>
      <c r="W324">
        <f>IF(G324=K324,1,0)</f>
        <v>1</v>
      </c>
      <c r="X324">
        <f>IF(L324&gt;0,L324,"")</f>
        <v/>
      </c>
      <c r="Y324">
        <f>IF(X324="","",IF(X324&gt;Stats!$B$15,"Outlier",""))</f>
        <v/>
      </c>
      <c r="Z324" t="str">
        <f>P324&amp;" vs "&amp;Q324</f>
        <v>Delhi Capitals vs Kolkata Knight Riders</v>
      </c>
    </row>
    <row r="325" spans="1:26" x14ac:dyDescent="0.25">
      <c r="A325">
        <v>383</v>
      </c>
      <c r="B325">
        <v>2013</v>
      </c>
      <c r="C325" s="5">
        <v>41368</v>
      </c>
      <c r="D325" t="s">
        <v>172</v>
      </c>
      <c r="E325" t="s">
        <v>46</v>
      </c>
      <c r="F325" t="s">
        <v>35</v>
      </c>
      <c r="G325" t="s">
        <v>35</v>
      </c>
      <c r="H325" t="s">
        <v>173</v>
      </c>
      <c r="I325" t="s">
        <v>174</v>
      </c>
      <c r="J325">
        <v>0</v>
      </c>
      <c r="K325" t="s">
        <v>46</v>
      </c>
      <c r="L325">
        <v>2</v>
      </c>
      <c r="M325">
        <v>0</v>
      </c>
      <c r="N325" t="s">
        <v>222</v>
      </c>
      <c r="O325" t="s">
        <v>92</v>
      </c>
      <c r="P325" t="str">
        <f>INDEX(Teams!$B:$B,MATCH(E325,Teams!$A:$A,0))</f>
        <v>Royal Challengers Bangalore</v>
      </c>
      <c r="Q325" t="str">
        <f>INDEX(Teams!$B:$B,MATCH(F325,Teams!$A:$A,0))</f>
        <v>Mumbai Indians</v>
      </c>
      <c r="R325" t="str">
        <f>INDEX(Teams!$B:$B,MATCH(G325,Teams!$A:$A,0))</f>
        <v>Mumbai Indians</v>
      </c>
      <c r="S325" t="str">
        <f>IF(K325="","No result",INDEX(Teams!$B:$B,MATCH(K325,Teams!$A:$A,0)))</f>
        <v>Royal Challengers Bangalore</v>
      </c>
      <c r="T325" t="str">
        <f>INDEX(Venues!$B:$B,MATCH(O325,Venues!$A:$A,0))</f>
        <v>M Chinnaswamy Stadium</v>
      </c>
      <c r="U325" t="str">
        <f>INDEX(Venues!$C:$C,MATCH(O325,Venues!$A:$A,0))</f>
        <v>Bangalore</v>
      </c>
      <c r="V325" t="str">
        <f>IF(L325&gt;0,L325&amp;" runs",IF(M325&gt;0,M325&amp;" wickets","-"))</f>
        <v>2 runs</v>
      </c>
      <c r="W325">
        <f>IF(G325=K325,1,0)</f>
        <v>0</v>
      </c>
      <c r="X325">
        <f>IF(L325&gt;0,L325,"")</f>
        <v>2</v>
      </c>
      <c r="Y325">
        <f>IF(X325="","",IF(X325&gt;Stats!$B$15,"Outlier",""))</f>
        <v/>
      </c>
      <c r="Z325" t="str">
        <f>P325&amp;" vs "&amp;Q325</f>
        <v>Royal Challengers Bangalore vs Mumbai Indians</v>
      </c>
    </row>
    <row r="326" spans="1:26" x14ac:dyDescent="0.25">
      <c r="A326">
        <v>384</v>
      </c>
      <c r="B326">
        <v>2013</v>
      </c>
      <c r="C326" s="5">
        <v>41369</v>
      </c>
      <c r="D326" t="s">
        <v>172</v>
      </c>
      <c r="E326" t="s">
        <v>49</v>
      </c>
      <c r="F326" t="s">
        <v>38</v>
      </c>
      <c r="G326" t="s">
        <v>38</v>
      </c>
      <c r="H326" t="s">
        <v>173</v>
      </c>
      <c r="I326" t="s">
        <v>174</v>
      </c>
      <c r="J326">
        <v>0</v>
      </c>
      <c r="K326" t="s">
        <v>49</v>
      </c>
      <c r="L326">
        <v>22</v>
      </c>
      <c r="M326">
        <v>0</v>
      </c>
      <c r="N326" t="s">
        <v>203</v>
      </c>
      <c r="O326" t="s">
        <v>111</v>
      </c>
      <c r="P326" t="str">
        <f>INDEX(Teams!$B:$B,MATCH(E326,Teams!$A:$A,0))</f>
        <v>Sunrisers Hyderabad</v>
      </c>
      <c r="Q326" t="str">
        <f>INDEX(Teams!$B:$B,MATCH(F326,Teams!$A:$A,0))</f>
        <v>Pune Warriors</v>
      </c>
      <c r="R326" t="str">
        <f>INDEX(Teams!$B:$B,MATCH(G326,Teams!$A:$A,0))</f>
        <v>Pune Warriors</v>
      </c>
      <c r="S326" t="str">
        <f>IF(K326="","No result",INDEX(Teams!$B:$B,MATCH(K326,Teams!$A:$A,0)))</f>
        <v>Sunrisers Hyderabad</v>
      </c>
      <c r="T326" t="str">
        <f>INDEX(Venues!$B:$B,MATCH(O326,Venues!$A:$A,0))</f>
        <v>Rajiv Gandhi International Stadium</v>
      </c>
      <c r="U326" t="str">
        <f>INDEX(Venues!$C:$C,MATCH(O326,Venues!$A:$A,0))</f>
        <v>Hyderabad</v>
      </c>
      <c r="V326" t="str">
        <f>IF(L326&gt;0,L326&amp;" runs",IF(M326&gt;0,M326&amp;" wickets","-"))</f>
        <v>22 runs</v>
      </c>
      <c r="W326">
        <f>IF(G326=K326,1,0)</f>
        <v>0</v>
      </c>
      <c r="X326">
        <f>IF(L326&gt;0,L326,"")</f>
        <v>22</v>
      </c>
      <c r="Y326">
        <f>IF(X326="","",IF(X326&gt;Stats!$B$15,"Outlier",""))</f>
        <v/>
      </c>
      <c r="Z326" t="str">
        <f>P326&amp;" vs "&amp;Q326</f>
        <v>Sunrisers Hyderabad vs Pune Warriors</v>
      </c>
    </row>
    <row r="327" spans="1:26" x14ac:dyDescent="0.25">
      <c r="A327">
        <v>385</v>
      </c>
      <c r="B327">
        <v>2013</v>
      </c>
      <c r="C327" s="5">
        <v>41370</v>
      </c>
      <c r="D327" t="s">
        <v>172</v>
      </c>
      <c r="E327" t="s">
        <v>41</v>
      </c>
      <c r="F327" t="s">
        <v>20</v>
      </c>
      <c r="G327" t="s">
        <v>41</v>
      </c>
      <c r="H327" t="s">
        <v>176</v>
      </c>
      <c r="I327" t="s">
        <v>174</v>
      </c>
      <c r="J327">
        <v>0</v>
      </c>
      <c r="K327" t="s">
        <v>41</v>
      </c>
      <c r="L327">
        <v>5</v>
      </c>
      <c r="M327">
        <v>0</v>
      </c>
      <c r="N327" t="s">
        <v>218</v>
      </c>
      <c r="O327" t="s">
        <v>75</v>
      </c>
      <c r="P327" t="str">
        <f>INDEX(Teams!$B:$B,MATCH(E327,Teams!$A:$A,0))</f>
        <v>Rajasthan Royals</v>
      </c>
      <c r="Q327" t="str">
        <f>INDEX(Teams!$B:$B,MATCH(F327,Teams!$A:$A,0))</f>
        <v>Delhi Capitals</v>
      </c>
      <c r="R327" t="str">
        <f>INDEX(Teams!$B:$B,MATCH(G327,Teams!$A:$A,0))</f>
        <v>Rajasthan Royals</v>
      </c>
      <c r="S327" t="str">
        <f>IF(K327="","No result",INDEX(Teams!$B:$B,MATCH(K327,Teams!$A:$A,0)))</f>
        <v>Rajasthan Royals</v>
      </c>
      <c r="T327" t="str">
        <f>INDEX(Venues!$B:$B,MATCH(O327,Venues!$A:$A,0))</f>
        <v>Feroz Shah Kotla</v>
      </c>
      <c r="U327" t="str">
        <f>INDEX(Venues!$C:$C,MATCH(O327,Venues!$A:$A,0))</f>
        <v>Delhi</v>
      </c>
      <c r="V327" t="str">
        <f>IF(L327&gt;0,L327&amp;" runs",IF(M327&gt;0,M327&amp;" wickets","-"))</f>
        <v>5 runs</v>
      </c>
      <c r="W327">
        <f>IF(G327=K327,1,0)</f>
        <v>1</v>
      </c>
      <c r="X327">
        <f>IF(L327&gt;0,L327,"")</f>
        <v>5</v>
      </c>
      <c r="Y327">
        <f>IF(X327="","",IF(X327&gt;Stats!$B$15,"Outlier",""))</f>
        <v/>
      </c>
      <c r="Z327" t="str">
        <f>P327&amp;" vs "&amp;Q327</f>
        <v>Rajasthan Royals vs Delhi Capitals</v>
      </c>
    </row>
    <row r="328" spans="1:26" x14ac:dyDescent="0.25">
      <c r="A328">
        <v>386</v>
      </c>
      <c r="B328">
        <v>2013</v>
      </c>
      <c r="C328" s="5">
        <v>41370</v>
      </c>
      <c r="D328" t="s">
        <v>172</v>
      </c>
      <c r="E328" t="s">
        <v>35</v>
      </c>
      <c r="F328" t="s">
        <v>12</v>
      </c>
      <c r="G328" t="s">
        <v>35</v>
      </c>
      <c r="H328" t="s">
        <v>176</v>
      </c>
      <c r="I328" t="s">
        <v>174</v>
      </c>
      <c r="J328">
        <v>0</v>
      </c>
      <c r="K328" t="s">
        <v>35</v>
      </c>
      <c r="L328">
        <v>9</v>
      </c>
      <c r="M328">
        <v>0</v>
      </c>
      <c r="N328" t="s">
        <v>268</v>
      </c>
      <c r="O328" t="s">
        <v>94</v>
      </c>
      <c r="P328" t="str">
        <f>INDEX(Teams!$B:$B,MATCH(E328,Teams!$A:$A,0))</f>
        <v>Mumbai Indians</v>
      </c>
      <c r="Q328" t="str">
        <f>INDEX(Teams!$B:$B,MATCH(F328,Teams!$A:$A,0))</f>
        <v>Chennai Super Kings</v>
      </c>
      <c r="R328" t="str">
        <f>INDEX(Teams!$B:$B,MATCH(G328,Teams!$A:$A,0))</f>
        <v>Mumbai Indians</v>
      </c>
      <c r="S328" t="str">
        <f>IF(K328="","No result",INDEX(Teams!$B:$B,MATCH(K328,Teams!$A:$A,0)))</f>
        <v>Mumbai Indians</v>
      </c>
      <c r="T328" t="str">
        <f>INDEX(Venues!$B:$B,MATCH(O328,Venues!$A:$A,0))</f>
        <v>MA Chidambaram Stadium</v>
      </c>
      <c r="U328" t="str">
        <f>INDEX(Venues!$C:$C,MATCH(O328,Venues!$A:$A,0))</f>
        <v>Chennai</v>
      </c>
      <c r="V328" t="str">
        <f>IF(L328&gt;0,L328&amp;" runs",IF(M328&gt;0,M328&amp;" wickets","-"))</f>
        <v>9 runs</v>
      </c>
      <c r="W328">
        <f>IF(G328=K328,1,0)</f>
        <v>1</v>
      </c>
      <c r="X328">
        <f>IF(L328&gt;0,L328,"")</f>
        <v>9</v>
      </c>
      <c r="Y328">
        <f>IF(X328="","",IF(X328&gt;Stats!$B$15,"Outlier",""))</f>
        <v/>
      </c>
      <c r="Z328" t="str">
        <f>P328&amp;" vs "&amp;Q328</f>
        <v>Mumbai Indians vs Chennai Super Kings</v>
      </c>
    </row>
    <row r="329" spans="1:26" x14ac:dyDescent="0.25">
      <c r="A329">
        <v>387</v>
      </c>
      <c r="B329">
        <v>2013</v>
      </c>
      <c r="C329" s="5">
        <v>41371</v>
      </c>
      <c r="D329" t="s">
        <v>172</v>
      </c>
      <c r="E329" t="s">
        <v>38</v>
      </c>
      <c r="F329" t="s">
        <v>26</v>
      </c>
      <c r="G329" t="s">
        <v>38</v>
      </c>
      <c r="H329" t="s">
        <v>176</v>
      </c>
      <c r="I329" t="s">
        <v>174</v>
      </c>
      <c r="J329">
        <v>0</v>
      </c>
      <c r="K329" t="s">
        <v>26</v>
      </c>
      <c r="L329">
        <v>0</v>
      </c>
      <c r="M329">
        <v>8</v>
      </c>
      <c r="N329" t="s">
        <v>317</v>
      </c>
      <c r="O329" t="s">
        <v>96</v>
      </c>
      <c r="P329" t="str">
        <f>INDEX(Teams!$B:$B,MATCH(E329,Teams!$A:$A,0))</f>
        <v>Pune Warriors</v>
      </c>
      <c r="Q329" t="str">
        <f>INDEX(Teams!$B:$B,MATCH(F329,Teams!$A:$A,0))</f>
        <v>Kings XI Punjab</v>
      </c>
      <c r="R329" t="str">
        <f>INDEX(Teams!$B:$B,MATCH(G329,Teams!$A:$A,0))</f>
        <v>Pune Warriors</v>
      </c>
      <c r="S329" t="str">
        <f>IF(K329="","No result",INDEX(Teams!$B:$B,MATCH(K329,Teams!$A:$A,0)))</f>
        <v>Kings XI Punjab</v>
      </c>
      <c r="T329" t="str">
        <f>INDEX(Venues!$B:$B,MATCH(O329,Venues!$A:$A,0))</f>
        <v>Maharashtra Cricket Association Stadium</v>
      </c>
      <c r="U329" t="str">
        <f>INDEX(Venues!$C:$C,MATCH(O329,Venues!$A:$A,0))</f>
        <v>Pune</v>
      </c>
      <c r="V329" t="str">
        <f>IF(L329&gt;0,L329&amp;" runs",IF(M329&gt;0,M329&amp;" wickets","-"))</f>
        <v>8 wickets</v>
      </c>
      <c r="W329">
        <f>IF(G329=K329,1,0)</f>
        <v>0</v>
      </c>
      <c r="X329">
        <f>IF(L329&gt;0,L329,"")</f>
        <v/>
      </c>
      <c r="Y329">
        <f>IF(X329="","",IF(X329&gt;Stats!$B$15,"Outlier",""))</f>
        <v/>
      </c>
      <c r="Z329" t="str">
        <f>P329&amp;" vs "&amp;Q329</f>
        <v>Pune Warriors vs Kings XI Punjab</v>
      </c>
    </row>
    <row r="330" spans="1:26" x14ac:dyDescent="0.25">
      <c r="A330">
        <v>388</v>
      </c>
      <c r="B330">
        <v>2013</v>
      </c>
      <c r="C330" s="5">
        <v>41371</v>
      </c>
      <c r="D330" t="s">
        <v>172</v>
      </c>
      <c r="E330" t="s">
        <v>46</v>
      </c>
      <c r="F330" t="s">
        <v>49</v>
      </c>
      <c r="G330" t="s">
        <v>46</v>
      </c>
      <c r="H330" t="s">
        <v>176</v>
      </c>
      <c r="I330" t="s">
        <v>224</v>
      </c>
      <c r="J330">
        <v>0</v>
      </c>
      <c r="K330" t="s">
        <v>49</v>
      </c>
      <c r="L330">
        <v>0</v>
      </c>
      <c r="M330">
        <v>0</v>
      </c>
      <c r="N330" t="s">
        <v>318</v>
      </c>
      <c r="O330" t="s">
        <v>111</v>
      </c>
      <c r="P330" t="str">
        <f>INDEX(Teams!$B:$B,MATCH(E330,Teams!$A:$A,0))</f>
        <v>Royal Challengers Bangalore</v>
      </c>
      <c r="Q330" t="str">
        <f>INDEX(Teams!$B:$B,MATCH(F330,Teams!$A:$A,0))</f>
        <v>Sunrisers Hyderabad</v>
      </c>
      <c r="R330" t="str">
        <f>INDEX(Teams!$B:$B,MATCH(G330,Teams!$A:$A,0))</f>
        <v>Royal Challengers Bangalore</v>
      </c>
      <c r="S330" t="str">
        <f>IF(K330="","No result",INDEX(Teams!$B:$B,MATCH(K330,Teams!$A:$A,0)))</f>
        <v>Sunrisers Hyderabad</v>
      </c>
      <c r="T330" t="str">
        <f>INDEX(Venues!$B:$B,MATCH(O330,Venues!$A:$A,0))</f>
        <v>Rajiv Gandhi International Stadium</v>
      </c>
      <c r="U330" t="str">
        <f>INDEX(Venues!$C:$C,MATCH(O330,Venues!$A:$A,0))</f>
        <v>Hyderabad</v>
      </c>
      <c r="V330" t="str">
        <f>IF(L330&gt;0,L330&amp;" runs",IF(M330&gt;0,M330&amp;" wickets","-"))</f>
        <v>-</v>
      </c>
      <c r="W330">
        <f>IF(G330=K330,1,0)</f>
        <v>0</v>
      </c>
      <c r="X330">
        <f>IF(L330&gt;0,L330,"")</f>
        <v/>
      </c>
      <c r="Y330">
        <f>IF(X330="","",IF(X330&gt;Stats!$B$15,"Outlier",""))</f>
        <v/>
      </c>
      <c r="Z330" t="str">
        <f>P330&amp;" vs "&amp;Q330</f>
        <v>Royal Challengers Bangalore vs Sunrisers Hyderabad</v>
      </c>
    </row>
    <row r="331" spans="1:26" x14ac:dyDescent="0.25">
      <c r="A331">
        <v>389</v>
      </c>
      <c r="B331">
        <v>2013</v>
      </c>
      <c r="C331" s="5">
        <v>41372</v>
      </c>
      <c r="D331" t="s">
        <v>172</v>
      </c>
      <c r="E331" t="s">
        <v>41</v>
      </c>
      <c r="F331" t="s">
        <v>32</v>
      </c>
      <c r="G331" t="s">
        <v>32</v>
      </c>
      <c r="H331" t="s">
        <v>173</v>
      </c>
      <c r="I331" t="s">
        <v>174</v>
      </c>
      <c r="J331">
        <v>0</v>
      </c>
      <c r="K331" t="s">
        <v>41</v>
      </c>
      <c r="L331">
        <v>19</v>
      </c>
      <c r="M331">
        <v>0</v>
      </c>
      <c r="N331" t="s">
        <v>275</v>
      </c>
      <c r="O331" t="s">
        <v>118</v>
      </c>
      <c r="P331" t="str">
        <f>INDEX(Teams!$B:$B,MATCH(E331,Teams!$A:$A,0))</f>
        <v>Rajasthan Royals</v>
      </c>
      <c r="Q331" t="str">
        <f>INDEX(Teams!$B:$B,MATCH(F331,Teams!$A:$A,0))</f>
        <v>Kolkata Knight Riders</v>
      </c>
      <c r="R331" t="str">
        <f>INDEX(Teams!$B:$B,MATCH(G331,Teams!$A:$A,0))</f>
        <v>Kolkata Knight Riders</v>
      </c>
      <c r="S331" t="str">
        <f>IF(K331="","No result",INDEX(Teams!$B:$B,MATCH(K331,Teams!$A:$A,0)))</f>
        <v>Rajasthan Royals</v>
      </c>
      <c r="T331" t="str">
        <f>INDEX(Venues!$B:$B,MATCH(O331,Venues!$A:$A,0))</f>
        <v>Sawai Mansingh Stadium</v>
      </c>
      <c r="U331" t="str">
        <f>INDEX(Venues!$C:$C,MATCH(O331,Venues!$A:$A,0))</f>
        <v>Jaipur</v>
      </c>
      <c r="V331" t="str">
        <f>IF(L331&gt;0,L331&amp;" runs",IF(M331&gt;0,M331&amp;" wickets","-"))</f>
        <v>19 runs</v>
      </c>
      <c r="W331">
        <f>IF(G331=K331,1,0)</f>
        <v>0</v>
      </c>
      <c r="X331">
        <f>IF(L331&gt;0,L331,"")</f>
        <v>19</v>
      </c>
      <c r="Y331">
        <f>IF(X331="","",IF(X331&gt;Stats!$B$15,"Outlier",""))</f>
        <v/>
      </c>
      <c r="Z331" t="str">
        <f>P331&amp;" vs "&amp;Q331</f>
        <v>Rajasthan Royals vs Kolkata Knight Riders</v>
      </c>
    </row>
    <row r="332" spans="1:26" x14ac:dyDescent="0.25">
      <c r="A332">
        <v>390</v>
      </c>
      <c r="B332">
        <v>2013</v>
      </c>
      <c r="C332" s="5">
        <v>41373</v>
      </c>
      <c r="D332" t="s">
        <v>172</v>
      </c>
      <c r="E332" t="s">
        <v>35</v>
      </c>
      <c r="F332" t="s">
        <v>20</v>
      </c>
      <c r="G332" t="s">
        <v>35</v>
      </c>
      <c r="H332" t="s">
        <v>176</v>
      </c>
      <c r="I332" t="s">
        <v>174</v>
      </c>
      <c r="J332">
        <v>0</v>
      </c>
      <c r="K332" t="s">
        <v>35</v>
      </c>
      <c r="L332">
        <v>44</v>
      </c>
      <c r="M332">
        <v>0</v>
      </c>
      <c r="N332" t="s">
        <v>210</v>
      </c>
      <c r="O332" t="s">
        <v>138</v>
      </c>
      <c r="P332" t="str">
        <f>INDEX(Teams!$B:$B,MATCH(E332,Teams!$A:$A,0))</f>
        <v>Mumbai Indians</v>
      </c>
      <c r="Q332" t="str">
        <f>INDEX(Teams!$B:$B,MATCH(F332,Teams!$A:$A,0))</f>
        <v>Delhi Capitals</v>
      </c>
      <c r="R332" t="str">
        <f>INDEX(Teams!$B:$B,MATCH(G332,Teams!$A:$A,0))</f>
        <v>Mumbai Indians</v>
      </c>
      <c r="S332" t="str">
        <f>IF(K332="","No result",INDEX(Teams!$B:$B,MATCH(K332,Teams!$A:$A,0)))</f>
        <v>Mumbai Indians</v>
      </c>
      <c r="T332" t="str">
        <f>INDEX(Venues!$B:$B,MATCH(O332,Venues!$A:$A,0))</f>
        <v>Wankhede Stadium</v>
      </c>
      <c r="U332" t="str">
        <f>INDEX(Venues!$C:$C,MATCH(O332,Venues!$A:$A,0))</f>
        <v>Mumbai</v>
      </c>
      <c r="V332" t="str">
        <f>IF(L332&gt;0,L332&amp;" runs",IF(M332&gt;0,M332&amp;" wickets","-"))</f>
        <v>44 runs</v>
      </c>
      <c r="W332">
        <f>IF(G332=K332,1,0)</f>
        <v>1</v>
      </c>
      <c r="X332">
        <f>IF(L332&gt;0,L332,"")</f>
        <v>44</v>
      </c>
      <c r="Y332">
        <f>IF(X332="","",IF(X332&gt;Stats!$B$15,"Outlier",""))</f>
        <v/>
      </c>
      <c r="Z332" t="str">
        <f>P332&amp;" vs "&amp;Q332</f>
        <v>Mumbai Indians vs Delhi Capitals</v>
      </c>
    </row>
    <row r="333" spans="1:26" x14ac:dyDescent="0.25">
      <c r="A333">
        <v>432</v>
      </c>
      <c r="B333">
        <v>2013</v>
      </c>
      <c r="C333" s="5">
        <v>41373</v>
      </c>
      <c r="D333" t="s">
        <v>172</v>
      </c>
      <c r="E333" t="s">
        <v>49</v>
      </c>
      <c r="F333" t="s">
        <v>46</v>
      </c>
      <c r="G333" t="s">
        <v>49</v>
      </c>
      <c r="H333" t="s">
        <v>176</v>
      </c>
      <c r="I333" t="s">
        <v>174</v>
      </c>
      <c r="J333">
        <v>0</v>
      </c>
      <c r="K333" t="s">
        <v>46</v>
      </c>
      <c r="L333">
        <v>0</v>
      </c>
      <c r="M333">
        <v>7</v>
      </c>
      <c r="N333" t="s">
        <v>282</v>
      </c>
      <c r="O333" t="s">
        <v>92</v>
      </c>
      <c r="P333" t="str">
        <f>INDEX(Teams!$B:$B,MATCH(E333,Teams!$A:$A,0))</f>
        <v>Sunrisers Hyderabad</v>
      </c>
      <c r="Q333" t="str">
        <f>INDEX(Teams!$B:$B,MATCH(F333,Teams!$A:$A,0))</f>
        <v>Royal Challengers Bangalore</v>
      </c>
      <c r="R333" t="str">
        <f>INDEX(Teams!$B:$B,MATCH(G333,Teams!$A:$A,0))</f>
        <v>Sunrisers Hyderabad</v>
      </c>
      <c r="S333" t="str">
        <f>IF(K333="","No result",INDEX(Teams!$B:$B,MATCH(K333,Teams!$A:$A,0)))</f>
        <v>Royal Challengers Bangalore</v>
      </c>
      <c r="T333" t="str">
        <f>INDEX(Venues!$B:$B,MATCH(O333,Venues!$A:$A,0))</f>
        <v>M Chinnaswamy Stadium</v>
      </c>
      <c r="U333" t="str">
        <f>INDEX(Venues!$C:$C,MATCH(O333,Venues!$A:$A,0))</f>
        <v>Bangalore</v>
      </c>
      <c r="V333" t="str">
        <f>IF(L333&gt;0,L333&amp;" runs",IF(M333&gt;0,M333&amp;" wickets","-"))</f>
        <v>7 wickets</v>
      </c>
      <c r="W333">
        <f>IF(G333=K333,1,0)</f>
        <v>0</v>
      </c>
      <c r="X333">
        <f>IF(L333&gt;0,L333,"")</f>
        <v/>
      </c>
      <c r="Y333">
        <f>IF(X333="","",IF(X333&gt;Stats!$B$15,"Outlier",""))</f>
        <v/>
      </c>
      <c r="Z333" t="str">
        <f>P333&amp;" vs "&amp;Q333</f>
        <v>Sunrisers Hyderabad vs Royal Challengers Bangalore</v>
      </c>
    </row>
    <row r="334" spans="1:26" x14ac:dyDescent="0.25">
      <c r="A334">
        <v>391</v>
      </c>
      <c r="B334">
        <v>2013</v>
      </c>
      <c r="C334" s="5">
        <v>41374</v>
      </c>
      <c r="D334" t="s">
        <v>172</v>
      </c>
      <c r="E334" t="s">
        <v>26</v>
      </c>
      <c r="F334" t="s">
        <v>12</v>
      </c>
      <c r="G334" t="s">
        <v>12</v>
      </c>
      <c r="H334" t="s">
        <v>173</v>
      </c>
      <c r="I334" t="s">
        <v>174</v>
      </c>
      <c r="J334">
        <v>0</v>
      </c>
      <c r="K334" t="s">
        <v>12</v>
      </c>
      <c r="L334">
        <v>0</v>
      </c>
      <c r="M334">
        <v>10</v>
      </c>
      <c r="N334" t="s">
        <v>177</v>
      </c>
      <c r="O334" t="s">
        <v>109</v>
      </c>
      <c r="P334" t="str">
        <f>INDEX(Teams!$B:$B,MATCH(E334,Teams!$A:$A,0))</f>
        <v>Kings XI Punjab</v>
      </c>
      <c r="Q334" t="str">
        <f>INDEX(Teams!$B:$B,MATCH(F334,Teams!$A:$A,0))</f>
        <v>Chennai Super Kings</v>
      </c>
      <c r="R334" t="str">
        <f>INDEX(Teams!$B:$B,MATCH(G334,Teams!$A:$A,0))</f>
        <v>Chennai Super Kings</v>
      </c>
      <c r="S334" t="str">
        <f>IF(K334="","No result",INDEX(Teams!$B:$B,MATCH(K334,Teams!$A:$A,0)))</f>
        <v>Chennai Super Kings</v>
      </c>
      <c r="T334" t="str">
        <f>INDEX(Venues!$B:$B,MATCH(O334,Venues!$A:$A,0))</f>
        <v>Punjab Cricket Association IS Bindra Stadium</v>
      </c>
      <c r="U334" t="str">
        <f>INDEX(Venues!$C:$C,MATCH(O334,Venues!$A:$A,0))</f>
        <v>Chandigarh</v>
      </c>
      <c r="V334" t="str">
        <f>IF(L334&gt;0,L334&amp;" runs",IF(M334&gt;0,M334&amp;" wickets","-"))</f>
        <v>10 wickets</v>
      </c>
      <c r="W334">
        <f>IF(G334=K334,1,0)</f>
        <v>1</v>
      </c>
      <c r="X334">
        <f>IF(L334&gt;0,L334,"")</f>
        <v/>
      </c>
      <c r="Y334">
        <f>IF(X334="","",IF(X334&gt;Stats!$B$15,"Outlier",""))</f>
        <v/>
      </c>
      <c r="Z334" t="str">
        <f>P334&amp;" vs "&amp;Q334</f>
        <v>Kings XI Punjab vs Chennai Super Kings</v>
      </c>
    </row>
    <row r="335" spans="1:26" x14ac:dyDescent="0.25">
      <c r="A335">
        <v>392</v>
      </c>
      <c r="B335">
        <v>2013</v>
      </c>
      <c r="C335" s="5">
        <v>41375</v>
      </c>
      <c r="D335" t="s">
        <v>172</v>
      </c>
      <c r="E335" t="s">
        <v>32</v>
      </c>
      <c r="F335" t="s">
        <v>46</v>
      </c>
      <c r="G335" t="s">
        <v>46</v>
      </c>
      <c r="H335" t="s">
        <v>173</v>
      </c>
      <c r="I335" t="s">
        <v>174</v>
      </c>
      <c r="J335">
        <v>0</v>
      </c>
      <c r="K335" t="s">
        <v>46</v>
      </c>
      <c r="L335">
        <v>0</v>
      </c>
      <c r="M335">
        <v>8</v>
      </c>
      <c r="N335" t="s">
        <v>222</v>
      </c>
      <c r="O335" t="s">
        <v>92</v>
      </c>
      <c r="P335" t="str">
        <f>INDEX(Teams!$B:$B,MATCH(E335,Teams!$A:$A,0))</f>
        <v>Kolkata Knight Riders</v>
      </c>
      <c r="Q335" t="str">
        <f>INDEX(Teams!$B:$B,MATCH(F335,Teams!$A:$A,0))</f>
        <v>Royal Challengers Bangalore</v>
      </c>
      <c r="R335" t="str">
        <f>INDEX(Teams!$B:$B,MATCH(G335,Teams!$A:$A,0))</f>
        <v>Royal Challengers Bangalore</v>
      </c>
      <c r="S335" t="str">
        <f>IF(K335="","No result",INDEX(Teams!$B:$B,MATCH(K335,Teams!$A:$A,0)))</f>
        <v>Royal Challengers Bangalore</v>
      </c>
      <c r="T335" t="str">
        <f>INDEX(Venues!$B:$B,MATCH(O335,Venues!$A:$A,0))</f>
        <v>M Chinnaswamy Stadium</v>
      </c>
      <c r="U335" t="str">
        <f>INDEX(Venues!$C:$C,MATCH(O335,Venues!$A:$A,0))</f>
        <v>Bangalore</v>
      </c>
      <c r="V335" t="str">
        <f>IF(L335&gt;0,L335&amp;" runs",IF(M335&gt;0,M335&amp;" wickets","-"))</f>
        <v>8 wickets</v>
      </c>
      <c r="W335">
        <f>IF(G335=K335,1,0)</f>
        <v>1</v>
      </c>
      <c r="X335">
        <f>IF(L335&gt;0,L335,"")</f>
        <v/>
      </c>
      <c r="Y335">
        <f>IF(X335="","",IF(X335&gt;Stats!$B$15,"Outlier",""))</f>
        <v/>
      </c>
      <c r="Z335" t="str">
        <f>P335&amp;" vs "&amp;Q335</f>
        <v>Kolkata Knight Riders vs Royal Challengers Bangalore</v>
      </c>
    </row>
    <row r="336" spans="1:26" x14ac:dyDescent="0.25">
      <c r="A336">
        <v>393</v>
      </c>
      <c r="B336">
        <v>2013</v>
      </c>
      <c r="C336" s="5">
        <v>41375</v>
      </c>
      <c r="D336" t="s">
        <v>172</v>
      </c>
      <c r="E336" t="s">
        <v>41</v>
      </c>
      <c r="F336" t="s">
        <v>38</v>
      </c>
      <c r="G336" t="s">
        <v>41</v>
      </c>
      <c r="H336" t="s">
        <v>176</v>
      </c>
      <c r="I336" t="s">
        <v>174</v>
      </c>
      <c r="J336">
        <v>0</v>
      </c>
      <c r="K336" t="s">
        <v>38</v>
      </c>
      <c r="L336">
        <v>0</v>
      </c>
      <c r="M336">
        <v>7</v>
      </c>
      <c r="N336" t="s">
        <v>319</v>
      </c>
      <c r="O336" t="s">
        <v>96</v>
      </c>
      <c r="P336" t="str">
        <f>INDEX(Teams!$B:$B,MATCH(E336,Teams!$A:$A,0))</f>
        <v>Rajasthan Royals</v>
      </c>
      <c r="Q336" t="str">
        <f>INDEX(Teams!$B:$B,MATCH(F336,Teams!$A:$A,0))</f>
        <v>Pune Warriors</v>
      </c>
      <c r="R336" t="str">
        <f>INDEX(Teams!$B:$B,MATCH(G336,Teams!$A:$A,0))</f>
        <v>Rajasthan Royals</v>
      </c>
      <c r="S336" t="str">
        <f>IF(K336="","No result",INDEX(Teams!$B:$B,MATCH(K336,Teams!$A:$A,0)))</f>
        <v>Pune Warriors</v>
      </c>
      <c r="T336" t="str">
        <f>INDEX(Venues!$B:$B,MATCH(O336,Venues!$A:$A,0))</f>
        <v>Maharashtra Cricket Association Stadium</v>
      </c>
      <c r="U336" t="str">
        <f>INDEX(Venues!$C:$C,MATCH(O336,Venues!$A:$A,0))</f>
        <v>Pune</v>
      </c>
      <c r="V336" t="str">
        <f>IF(L336&gt;0,L336&amp;" runs",IF(M336&gt;0,M336&amp;" wickets","-"))</f>
        <v>7 wickets</v>
      </c>
      <c r="W336">
        <f>IF(G336=K336,1,0)</f>
        <v>0</v>
      </c>
      <c r="X336">
        <f>IF(L336&gt;0,L336,"")</f>
        <v/>
      </c>
      <c r="Y336">
        <f>IF(X336="","",IF(X336&gt;Stats!$B$15,"Outlier",""))</f>
        <v/>
      </c>
      <c r="Z336" t="str">
        <f>P336&amp;" vs "&amp;Q336</f>
        <v>Rajasthan Royals vs Pune Warriors</v>
      </c>
    </row>
    <row r="337" spans="1:26" x14ac:dyDescent="0.25">
      <c r="A337">
        <v>394</v>
      </c>
      <c r="B337">
        <v>2013</v>
      </c>
      <c r="C337" s="5">
        <v>41376</v>
      </c>
      <c r="D337" t="s">
        <v>172</v>
      </c>
      <c r="E337" t="s">
        <v>20</v>
      </c>
      <c r="F337" t="s">
        <v>49</v>
      </c>
      <c r="G337" t="s">
        <v>20</v>
      </c>
      <c r="H337" t="s">
        <v>176</v>
      </c>
      <c r="I337" t="s">
        <v>174</v>
      </c>
      <c r="J337">
        <v>0</v>
      </c>
      <c r="K337" t="s">
        <v>49</v>
      </c>
      <c r="L337">
        <v>0</v>
      </c>
      <c r="M337">
        <v>3</v>
      </c>
      <c r="N337" t="s">
        <v>203</v>
      </c>
      <c r="O337" t="s">
        <v>75</v>
      </c>
      <c r="P337" t="str">
        <f>INDEX(Teams!$B:$B,MATCH(E337,Teams!$A:$A,0))</f>
        <v>Delhi Capitals</v>
      </c>
      <c r="Q337" t="str">
        <f>INDEX(Teams!$B:$B,MATCH(F337,Teams!$A:$A,0))</f>
        <v>Sunrisers Hyderabad</v>
      </c>
      <c r="R337" t="str">
        <f>INDEX(Teams!$B:$B,MATCH(G337,Teams!$A:$A,0))</f>
        <v>Delhi Capitals</v>
      </c>
      <c r="S337" t="str">
        <f>IF(K337="","No result",INDEX(Teams!$B:$B,MATCH(K337,Teams!$A:$A,0)))</f>
        <v>Sunrisers Hyderabad</v>
      </c>
      <c r="T337" t="str">
        <f>INDEX(Venues!$B:$B,MATCH(O337,Venues!$A:$A,0))</f>
        <v>Feroz Shah Kotla</v>
      </c>
      <c r="U337" t="str">
        <f>INDEX(Venues!$C:$C,MATCH(O337,Venues!$A:$A,0))</f>
        <v>Delhi</v>
      </c>
      <c r="V337" t="str">
        <f>IF(L337&gt;0,L337&amp;" runs",IF(M337&gt;0,M337&amp;" wickets","-"))</f>
        <v>3 wickets</v>
      </c>
      <c r="W337">
        <f>IF(G337=K337,1,0)</f>
        <v>0</v>
      </c>
      <c r="X337">
        <f>IF(L337&gt;0,L337,"")</f>
        <v/>
      </c>
      <c r="Y337">
        <f>IF(X337="","",IF(X337&gt;Stats!$B$15,"Outlier",""))</f>
        <v/>
      </c>
      <c r="Z337" t="str">
        <f>P337&amp;" vs "&amp;Q337</f>
        <v>Delhi Capitals vs Sunrisers Hyderabad</v>
      </c>
    </row>
    <row r="338" spans="1:26" x14ac:dyDescent="0.25">
      <c r="A338">
        <v>395</v>
      </c>
      <c r="B338">
        <v>2013</v>
      </c>
      <c r="C338" s="5">
        <v>41377</v>
      </c>
      <c r="D338" t="s">
        <v>172</v>
      </c>
      <c r="E338" t="s">
        <v>35</v>
      </c>
      <c r="F338" t="s">
        <v>38</v>
      </c>
      <c r="G338" t="s">
        <v>35</v>
      </c>
      <c r="H338" t="s">
        <v>176</v>
      </c>
      <c r="I338" t="s">
        <v>174</v>
      </c>
      <c r="J338">
        <v>0</v>
      </c>
      <c r="K338" t="s">
        <v>35</v>
      </c>
      <c r="L338">
        <v>41</v>
      </c>
      <c r="M338">
        <v>0</v>
      </c>
      <c r="N338" t="s">
        <v>235</v>
      </c>
      <c r="O338" t="s">
        <v>138</v>
      </c>
      <c r="P338" t="str">
        <f>INDEX(Teams!$B:$B,MATCH(E338,Teams!$A:$A,0))</f>
        <v>Mumbai Indians</v>
      </c>
      <c r="Q338" t="str">
        <f>INDEX(Teams!$B:$B,MATCH(F338,Teams!$A:$A,0))</f>
        <v>Pune Warriors</v>
      </c>
      <c r="R338" t="str">
        <f>INDEX(Teams!$B:$B,MATCH(G338,Teams!$A:$A,0))</f>
        <v>Mumbai Indians</v>
      </c>
      <c r="S338" t="str">
        <f>IF(K338="","No result",INDEX(Teams!$B:$B,MATCH(K338,Teams!$A:$A,0)))</f>
        <v>Mumbai Indians</v>
      </c>
      <c r="T338" t="str">
        <f>INDEX(Venues!$B:$B,MATCH(O338,Venues!$A:$A,0))</f>
        <v>Wankhede Stadium</v>
      </c>
      <c r="U338" t="str">
        <f>INDEX(Venues!$C:$C,MATCH(O338,Venues!$A:$A,0))</f>
        <v>Mumbai</v>
      </c>
      <c r="V338" t="str">
        <f>IF(L338&gt;0,L338&amp;" runs",IF(M338&gt;0,M338&amp;" wickets","-"))</f>
        <v>41 runs</v>
      </c>
      <c r="W338">
        <f>IF(G338=K338,1,0)</f>
        <v>1</v>
      </c>
      <c r="X338">
        <f>IF(L338&gt;0,L338,"")</f>
        <v>41</v>
      </c>
      <c r="Y338">
        <f>IF(X338="","",IF(X338&gt;Stats!$B$15,"Outlier",""))</f>
        <v/>
      </c>
      <c r="Z338" t="str">
        <f>P338&amp;" vs "&amp;Q338</f>
        <v>Mumbai Indians vs Pune Warriors</v>
      </c>
    </row>
    <row r="339" spans="1:26" x14ac:dyDescent="0.25">
      <c r="A339">
        <v>396</v>
      </c>
      <c r="B339">
        <v>2013</v>
      </c>
      <c r="C339" s="5">
        <v>41377</v>
      </c>
      <c r="D339" t="s">
        <v>172</v>
      </c>
      <c r="E339" t="s">
        <v>46</v>
      </c>
      <c r="F339" t="s">
        <v>12</v>
      </c>
      <c r="G339" t="s">
        <v>12</v>
      </c>
      <c r="H339" t="s">
        <v>173</v>
      </c>
      <c r="I339" t="s">
        <v>174</v>
      </c>
      <c r="J339">
        <v>0</v>
      </c>
      <c r="K339" t="s">
        <v>12</v>
      </c>
      <c r="L339">
        <v>0</v>
      </c>
      <c r="M339">
        <v>4</v>
      </c>
      <c r="N339" t="s">
        <v>299</v>
      </c>
      <c r="O339" t="s">
        <v>94</v>
      </c>
      <c r="P339" t="str">
        <f>INDEX(Teams!$B:$B,MATCH(E339,Teams!$A:$A,0))</f>
        <v>Royal Challengers Bangalore</v>
      </c>
      <c r="Q339" t="str">
        <f>INDEX(Teams!$B:$B,MATCH(F339,Teams!$A:$A,0))</f>
        <v>Chennai Super Kings</v>
      </c>
      <c r="R339" t="str">
        <f>INDEX(Teams!$B:$B,MATCH(G339,Teams!$A:$A,0))</f>
        <v>Chennai Super Kings</v>
      </c>
      <c r="S339" t="str">
        <f>IF(K339="","No result",INDEX(Teams!$B:$B,MATCH(K339,Teams!$A:$A,0)))</f>
        <v>Chennai Super Kings</v>
      </c>
      <c r="T339" t="str">
        <f>INDEX(Venues!$B:$B,MATCH(O339,Venues!$A:$A,0))</f>
        <v>MA Chidambaram Stadium</v>
      </c>
      <c r="U339" t="str">
        <f>INDEX(Venues!$C:$C,MATCH(O339,Venues!$A:$A,0))</f>
        <v>Chennai</v>
      </c>
      <c r="V339" t="str">
        <f>IF(L339&gt;0,L339&amp;" runs",IF(M339&gt;0,M339&amp;" wickets","-"))</f>
        <v>4 wickets</v>
      </c>
      <c r="W339">
        <f>IF(G339=K339,1,0)</f>
        <v>1</v>
      </c>
      <c r="X339">
        <f>IF(L339&gt;0,L339,"")</f>
        <v/>
      </c>
      <c r="Y339">
        <f>IF(X339="","",IF(X339&gt;Stats!$B$15,"Outlier",""))</f>
        <v/>
      </c>
      <c r="Z339" t="str">
        <f>P339&amp;" vs "&amp;Q339</f>
        <v>Royal Challengers Bangalore vs Chennai Super Kings</v>
      </c>
    </row>
    <row r="340" spans="1:26" x14ac:dyDescent="0.25">
      <c r="A340">
        <v>397</v>
      </c>
      <c r="B340">
        <v>2013</v>
      </c>
      <c r="C340" s="5">
        <v>41378</v>
      </c>
      <c r="D340" t="s">
        <v>172</v>
      </c>
      <c r="E340" t="s">
        <v>32</v>
      </c>
      <c r="F340" t="s">
        <v>49</v>
      </c>
      <c r="G340" t="s">
        <v>32</v>
      </c>
      <c r="H340" t="s">
        <v>176</v>
      </c>
      <c r="I340" t="s">
        <v>174</v>
      </c>
      <c r="J340">
        <v>0</v>
      </c>
      <c r="K340" t="s">
        <v>32</v>
      </c>
      <c r="L340">
        <v>48</v>
      </c>
      <c r="M340">
        <v>0</v>
      </c>
      <c r="N340" t="s">
        <v>234</v>
      </c>
      <c r="O340" t="s">
        <v>73</v>
      </c>
      <c r="P340" t="str">
        <f>INDEX(Teams!$B:$B,MATCH(E340,Teams!$A:$A,0))</f>
        <v>Kolkata Knight Riders</v>
      </c>
      <c r="Q340" t="str">
        <f>INDEX(Teams!$B:$B,MATCH(F340,Teams!$A:$A,0))</f>
        <v>Sunrisers Hyderabad</v>
      </c>
      <c r="R340" t="str">
        <f>INDEX(Teams!$B:$B,MATCH(G340,Teams!$A:$A,0))</f>
        <v>Kolkata Knight Riders</v>
      </c>
      <c r="S340" t="str">
        <f>IF(K340="","No result",INDEX(Teams!$B:$B,MATCH(K340,Teams!$A:$A,0)))</f>
        <v>Kolkata Knight Riders</v>
      </c>
      <c r="T340" t="str">
        <f>INDEX(Venues!$B:$B,MATCH(O340,Venues!$A:$A,0))</f>
        <v>Eden Gardens</v>
      </c>
      <c r="U340" t="str">
        <f>INDEX(Venues!$C:$C,MATCH(O340,Venues!$A:$A,0))</f>
        <v>Kolkata</v>
      </c>
      <c r="V340" t="str">
        <f>IF(L340&gt;0,L340&amp;" runs",IF(M340&gt;0,M340&amp;" wickets","-"))</f>
        <v>48 runs</v>
      </c>
      <c r="W340">
        <f>IF(G340=K340,1,0)</f>
        <v>1</v>
      </c>
      <c r="X340">
        <f>IF(L340&gt;0,L340,"")</f>
        <v>48</v>
      </c>
      <c r="Y340">
        <f>IF(X340="","",IF(X340&gt;Stats!$B$15,"Outlier",""))</f>
        <v/>
      </c>
      <c r="Z340" t="str">
        <f>P340&amp;" vs "&amp;Q340</f>
        <v>Kolkata Knight Riders vs Sunrisers Hyderabad</v>
      </c>
    </row>
    <row r="341" spans="1:26" x14ac:dyDescent="0.25">
      <c r="A341">
        <v>398</v>
      </c>
      <c r="B341">
        <v>2013</v>
      </c>
      <c r="C341" s="5">
        <v>41378</v>
      </c>
      <c r="D341" t="s">
        <v>172</v>
      </c>
      <c r="E341" t="s">
        <v>26</v>
      </c>
      <c r="F341" t="s">
        <v>41</v>
      </c>
      <c r="G341" t="s">
        <v>41</v>
      </c>
      <c r="H341" t="s">
        <v>173</v>
      </c>
      <c r="I341" t="s">
        <v>174</v>
      </c>
      <c r="J341">
        <v>0</v>
      </c>
      <c r="K341" t="s">
        <v>41</v>
      </c>
      <c r="L341">
        <v>0</v>
      </c>
      <c r="M341">
        <v>6</v>
      </c>
      <c r="N341" t="s">
        <v>320</v>
      </c>
      <c r="O341" t="s">
        <v>118</v>
      </c>
      <c r="P341" t="str">
        <f>INDEX(Teams!$B:$B,MATCH(E341,Teams!$A:$A,0))</f>
        <v>Kings XI Punjab</v>
      </c>
      <c r="Q341" t="str">
        <f>INDEX(Teams!$B:$B,MATCH(F341,Teams!$A:$A,0))</f>
        <v>Rajasthan Royals</v>
      </c>
      <c r="R341" t="str">
        <f>INDEX(Teams!$B:$B,MATCH(G341,Teams!$A:$A,0))</f>
        <v>Rajasthan Royals</v>
      </c>
      <c r="S341" t="str">
        <f>IF(K341="","No result",INDEX(Teams!$B:$B,MATCH(K341,Teams!$A:$A,0)))</f>
        <v>Rajasthan Royals</v>
      </c>
      <c r="T341" t="str">
        <f>INDEX(Venues!$B:$B,MATCH(O341,Venues!$A:$A,0))</f>
        <v>Sawai Mansingh Stadium</v>
      </c>
      <c r="U341" t="str">
        <f>INDEX(Venues!$C:$C,MATCH(O341,Venues!$A:$A,0))</f>
        <v>Jaipur</v>
      </c>
      <c r="V341" t="str">
        <f>IF(L341&gt;0,L341&amp;" runs",IF(M341&gt;0,M341&amp;" wickets","-"))</f>
        <v>6 wickets</v>
      </c>
      <c r="W341">
        <f>IF(G341=K341,1,0)</f>
        <v>1</v>
      </c>
      <c r="X341">
        <f>IF(L341&gt;0,L341,"")</f>
        <v/>
      </c>
      <c r="Y341">
        <f>IF(X341="","",IF(X341&gt;Stats!$B$15,"Outlier",""))</f>
        <v/>
      </c>
      <c r="Z341" t="str">
        <f>P341&amp;" vs "&amp;Q341</f>
        <v>Kings XI Punjab vs Rajasthan Royals</v>
      </c>
    </row>
    <row r="342" spans="1:26" x14ac:dyDescent="0.25">
      <c r="A342">
        <v>399</v>
      </c>
      <c r="B342">
        <v>2013</v>
      </c>
      <c r="C342" s="5">
        <v>41379</v>
      </c>
      <c r="D342" t="s">
        <v>172</v>
      </c>
      <c r="E342" t="s">
        <v>38</v>
      </c>
      <c r="F342" t="s">
        <v>12</v>
      </c>
      <c r="G342" t="s">
        <v>38</v>
      </c>
      <c r="H342" t="s">
        <v>176</v>
      </c>
      <c r="I342" t="s">
        <v>174</v>
      </c>
      <c r="J342">
        <v>0</v>
      </c>
      <c r="K342" t="s">
        <v>38</v>
      </c>
      <c r="L342">
        <v>24</v>
      </c>
      <c r="M342">
        <v>0</v>
      </c>
      <c r="N342" t="s">
        <v>297</v>
      </c>
      <c r="O342" t="s">
        <v>94</v>
      </c>
      <c r="P342" t="str">
        <f>INDEX(Teams!$B:$B,MATCH(E342,Teams!$A:$A,0))</f>
        <v>Pune Warriors</v>
      </c>
      <c r="Q342" t="str">
        <f>INDEX(Teams!$B:$B,MATCH(F342,Teams!$A:$A,0))</f>
        <v>Chennai Super Kings</v>
      </c>
      <c r="R342" t="str">
        <f>INDEX(Teams!$B:$B,MATCH(G342,Teams!$A:$A,0))</f>
        <v>Pune Warriors</v>
      </c>
      <c r="S342" t="str">
        <f>IF(K342="","No result",INDEX(Teams!$B:$B,MATCH(K342,Teams!$A:$A,0)))</f>
        <v>Pune Warriors</v>
      </c>
      <c r="T342" t="str">
        <f>INDEX(Venues!$B:$B,MATCH(O342,Venues!$A:$A,0))</f>
        <v>MA Chidambaram Stadium</v>
      </c>
      <c r="U342" t="str">
        <f>INDEX(Venues!$C:$C,MATCH(O342,Venues!$A:$A,0))</f>
        <v>Chennai</v>
      </c>
      <c r="V342" t="str">
        <f>IF(L342&gt;0,L342&amp;" runs",IF(M342&gt;0,M342&amp;" wickets","-"))</f>
        <v>24 runs</v>
      </c>
      <c r="W342">
        <f>IF(G342=K342,1,0)</f>
        <v>1</v>
      </c>
      <c r="X342">
        <f>IF(L342&gt;0,L342,"")</f>
        <v>24</v>
      </c>
      <c r="Y342">
        <f>IF(X342="","",IF(X342&gt;Stats!$B$15,"Outlier",""))</f>
        <v/>
      </c>
      <c r="Z342" t="str">
        <f>P342&amp;" vs "&amp;Q342</f>
        <v>Pune Warriors vs Chennai Super Kings</v>
      </c>
    </row>
    <row r="343" spans="1:26" x14ac:dyDescent="0.25">
      <c r="A343">
        <v>400</v>
      </c>
      <c r="B343">
        <v>2013</v>
      </c>
      <c r="C343" s="5">
        <v>41380</v>
      </c>
      <c r="D343" t="s">
        <v>172</v>
      </c>
      <c r="E343" t="s">
        <v>26</v>
      </c>
      <c r="F343" t="s">
        <v>32</v>
      </c>
      <c r="G343" t="s">
        <v>32</v>
      </c>
      <c r="H343" t="s">
        <v>173</v>
      </c>
      <c r="I343" t="s">
        <v>174</v>
      </c>
      <c r="J343">
        <v>0</v>
      </c>
      <c r="K343" t="s">
        <v>26</v>
      </c>
      <c r="L343">
        <v>4</v>
      </c>
      <c r="M343">
        <v>0</v>
      </c>
      <c r="N343" t="s">
        <v>321</v>
      </c>
      <c r="O343" t="s">
        <v>109</v>
      </c>
      <c r="P343" t="str">
        <f>INDEX(Teams!$B:$B,MATCH(E343,Teams!$A:$A,0))</f>
        <v>Kings XI Punjab</v>
      </c>
      <c r="Q343" t="str">
        <f>INDEX(Teams!$B:$B,MATCH(F343,Teams!$A:$A,0))</f>
        <v>Kolkata Knight Riders</v>
      </c>
      <c r="R343" t="str">
        <f>INDEX(Teams!$B:$B,MATCH(G343,Teams!$A:$A,0))</f>
        <v>Kolkata Knight Riders</v>
      </c>
      <c r="S343" t="str">
        <f>IF(K343="","No result",INDEX(Teams!$B:$B,MATCH(K343,Teams!$A:$A,0)))</f>
        <v>Kings XI Punjab</v>
      </c>
      <c r="T343" t="str">
        <f>INDEX(Venues!$B:$B,MATCH(O343,Venues!$A:$A,0))</f>
        <v>Punjab Cricket Association IS Bindra Stadium</v>
      </c>
      <c r="U343" t="str">
        <f>INDEX(Venues!$C:$C,MATCH(O343,Venues!$A:$A,0))</f>
        <v>Chandigarh</v>
      </c>
      <c r="V343" t="str">
        <f>IF(L343&gt;0,L343&amp;" runs",IF(M343&gt;0,M343&amp;" wickets","-"))</f>
        <v>4 runs</v>
      </c>
      <c r="W343">
        <f>IF(G343=K343,1,0)</f>
        <v>0</v>
      </c>
      <c r="X343">
        <f>IF(L343&gt;0,L343,"")</f>
        <v>4</v>
      </c>
      <c r="Y343">
        <f>IF(X343="","",IF(X343&gt;Stats!$B$15,"Outlier",""))</f>
        <v/>
      </c>
      <c r="Z343" t="str">
        <f>P343&amp;" vs "&amp;Q343</f>
        <v>Kings XI Punjab vs Kolkata Knight Riders</v>
      </c>
    </row>
    <row r="344" spans="1:26" x14ac:dyDescent="0.25">
      <c r="A344">
        <v>401</v>
      </c>
      <c r="B344">
        <v>2013</v>
      </c>
      <c r="C344" s="5">
        <v>41380</v>
      </c>
      <c r="D344" t="s">
        <v>172</v>
      </c>
      <c r="E344" t="s">
        <v>20</v>
      </c>
      <c r="F344" t="s">
        <v>46</v>
      </c>
      <c r="G344" t="s">
        <v>46</v>
      </c>
      <c r="H344" t="s">
        <v>173</v>
      </c>
      <c r="I344" t="s">
        <v>224</v>
      </c>
      <c r="J344">
        <v>0</v>
      </c>
      <c r="K344" t="s">
        <v>46</v>
      </c>
      <c r="L344">
        <v>0</v>
      </c>
      <c r="M344">
        <v>0</v>
      </c>
      <c r="N344" t="s">
        <v>282</v>
      </c>
      <c r="O344" t="s">
        <v>92</v>
      </c>
      <c r="P344" t="str">
        <f>INDEX(Teams!$B:$B,MATCH(E344,Teams!$A:$A,0))</f>
        <v>Delhi Capitals</v>
      </c>
      <c r="Q344" t="str">
        <f>INDEX(Teams!$B:$B,MATCH(F344,Teams!$A:$A,0))</f>
        <v>Royal Challengers Bangalore</v>
      </c>
      <c r="R344" t="str">
        <f>INDEX(Teams!$B:$B,MATCH(G344,Teams!$A:$A,0))</f>
        <v>Royal Challengers Bangalore</v>
      </c>
      <c r="S344" t="str">
        <f>IF(K344="","No result",INDEX(Teams!$B:$B,MATCH(K344,Teams!$A:$A,0)))</f>
        <v>Royal Challengers Bangalore</v>
      </c>
      <c r="T344" t="str">
        <f>INDEX(Venues!$B:$B,MATCH(O344,Venues!$A:$A,0))</f>
        <v>M Chinnaswamy Stadium</v>
      </c>
      <c r="U344" t="str">
        <f>INDEX(Venues!$C:$C,MATCH(O344,Venues!$A:$A,0))</f>
        <v>Bangalore</v>
      </c>
      <c r="V344" t="str">
        <f>IF(L344&gt;0,L344&amp;" runs",IF(M344&gt;0,M344&amp;" wickets","-"))</f>
        <v>-</v>
      </c>
      <c r="W344">
        <f>IF(G344=K344,1,0)</f>
        <v>1</v>
      </c>
      <c r="X344">
        <f>IF(L344&gt;0,L344,"")</f>
        <v/>
      </c>
      <c r="Y344">
        <f>IF(X344="","",IF(X344&gt;Stats!$B$15,"Outlier",""))</f>
        <v/>
      </c>
      <c r="Z344" t="str">
        <f>P344&amp;" vs "&amp;Q344</f>
        <v>Delhi Capitals vs Royal Challengers Bangalore</v>
      </c>
    </row>
    <row r="345" spans="1:26" x14ac:dyDescent="0.25">
      <c r="A345">
        <v>402</v>
      </c>
      <c r="B345">
        <v>2013</v>
      </c>
      <c r="C345" s="5">
        <v>41381</v>
      </c>
      <c r="D345" t="s">
        <v>172</v>
      </c>
      <c r="E345" t="s">
        <v>49</v>
      </c>
      <c r="F345" t="s">
        <v>38</v>
      </c>
      <c r="G345" t="s">
        <v>38</v>
      </c>
      <c r="H345" t="s">
        <v>173</v>
      </c>
      <c r="I345" t="s">
        <v>174</v>
      </c>
      <c r="J345">
        <v>0</v>
      </c>
      <c r="K345" t="s">
        <v>49</v>
      </c>
      <c r="L345">
        <v>11</v>
      </c>
      <c r="M345">
        <v>0</v>
      </c>
      <c r="N345" t="s">
        <v>203</v>
      </c>
      <c r="O345" t="s">
        <v>96</v>
      </c>
      <c r="P345" t="str">
        <f>INDEX(Teams!$B:$B,MATCH(E345,Teams!$A:$A,0))</f>
        <v>Sunrisers Hyderabad</v>
      </c>
      <c r="Q345" t="str">
        <f>INDEX(Teams!$B:$B,MATCH(F345,Teams!$A:$A,0))</f>
        <v>Pune Warriors</v>
      </c>
      <c r="R345" t="str">
        <f>INDEX(Teams!$B:$B,MATCH(G345,Teams!$A:$A,0))</f>
        <v>Pune Warriors</v>
      </c>
      <c r="S345" t="str">
        <f>IF(K345="","No result",INDEX(Teams!$B:$B,MATCH(K345,Teams!$A:$A,0)))</f>
        <v>Sunrisers Hyderabad</v>
      </c>
      <c r="T345" t="str">
        <f>INDEX(Venues!$B:$B,MATCH(O345,Venues!$A:$A,0))</f>
        <v>Maharashtra Cricket Association Stadium</v>
      </c>
      <c r="U345" t="str">
        <f>INDEX(Venues!$C:$C,MATCH(O345,Venues!$A:$A,0))</f>
        <v>Pune</v>
      </c>
      <c r="V345" t="str">
        <f>IF(L345&gt;0,L345&amp;" runs",IF(M345&gt;0,M345&amp;" wickets","-"))</f>
        <v>11 runs</v>
      </c>
      <c r="W345">
        <f>IF(G345=K345,1,0)</f>
        <v>0</v>
      </c>
      <c r="X345">
        <f>IF(L345&gt;0,L345,"")</f>
        <v>11</v>
      </c>
      <c r="Y345">
        <f>IF(X345="","",IF(X345&gt;Stats!$B$15,"Outlier",""))</f>
        <v/>
      </c>
      <c r="Z345" t="str">
        <f>P345&amp;" vs "&amp;Q345</f>
        <v>Sunrisers Hyderabad vs Pune Warriors</v>
      </c>
    </row>
    <row r="346" spans="1:26" x14ac:dyDescent="0.25">
      <c r="A346">
        <v>403</v>
      </c>
      <c r="B346">
        <v>2013</v>
      </c>
      <c r="C346" s="5">
        <v>41381</v>
      </c>
      <c r="D346" t="s">
        <v>172</v>
      </c>
      <c r="E346" t="s">
        <v>41</v>
      </c>
      <c r="F346" t="s">
        <v>35</v>
      </c>
      <c r="G346" t="s">
        <v>41</v>
      </c>
      <c r="H346" t="s">
        <v>176</v>
      </c>
      <c r="I346" t="s">
        <v>174</v>
      </c>
      <c r="J346">
        <v>0</v>
      </c>
      <c r="K346" t="s">
        <v>41</v>
      </c>
      <c r="L346">
        <v>87</v>
      </c>
      <c r="M346">
        <v>0</v>
      </c>
      <c r="N346" t="s">
        <v>298</v>
      </c>
      <c r="O346" t="s">
        <v>118</v>
      </c>
      <c r="P346" t="str">
        <f>INDEX(Teams!$B:$B,MATCH(E346,Teams!$A:$A,0))</f>
        <v>Rajasthan Royals</v>
      </c>
      <c r="Q346" t="str">
        <f>INDEX(Teams!$B:$B,MATCH(F346,Teams!$A:$A,0))</f>
        <v>Mumbai Indians</v>
      </c>
      <c r="R346" t="str">
        <f>INDEX(Teams!$B:$B,MATCH(G346,Teams!$A:$A,0))</f>
        <v>Rajasthan Royals</v>
      </c>
      <c r="S346" t="str">
        <f>IF(K346="","No result",INDEX(Teams!$B:$B,MATCH(K346,Teams!$A:$A,0)))</f>
        <v>Rajasthan Royals</v>
      </c>
      <c r="T346" t="str">
        <f>INDEX(Venues!$B:$B,MATCH(O346,Venues!$A:$A,0))</f>
        <v>Sawai Mansingh Stadium</v>
      </c>
      <c r="U346" t="str">
        <f>INDEX(Venues!$C:$C,MATCH(O346,Venues!$A:$A,0))</f>
        <v>Jaipur</v>
      </c>
      <c r="V346" t="str">
        <f>IF(L346&gt;0,L346&amp;" runs",IF(M346&gt;0,M346&amp;" wickets","-"))</f>
        <v>87 runs</v>
      </c>
      <c r="W346">
        <f>IF(G346=K346,1,0)</f>
        <v>1</v>
      </c>
      <c r="X346">
        <f>IF(L346&gt;0,L346,"")</f>
        <v>87</v>
      </c>
      <c r="Y346" t="str">
        <f>IF(X346="","",IF(X346&gt;Stats!$B$15,"Outlier",""))</f>
        <v>Outlier</v>
      </c>
      <c r="Z346" t="str">
        <f>P346&amp;" vs "&amp;Q346</f>
        <v>Rajasthan Royals vs Mumbai Indians</v>
      </c>
    </row>
    <row r="347" spans="1:26" x14ac:dyDescent="0.25">
      <c r="A347">
        <v>404</v>
      </c>
      <c r="B347">
        <v>2013</v>
      </c>
      <c r="C347" s="5">
        <v>41382</v>
      </c>
      <c r="D347" t="s">
        <v>172</v>
      </c>
      <c r="E347" t="s">
        <v>12</v>
      </c>
      <c r="F347" t="s">
        <v>20</v>
      </c>
      <c r="G347" t="s">
        <v>12</v>
      </c>
      <c r="H347" t="s">
        <v>176</v>
      </c>
      <c r="I347" t="s">
        <v>174</v>
      </c>
      <c r="J347">
        <v>0</v>
      </c>
      <c r="K347" t="s">
        <v>12</v>
      </c>
      <c r="L347">
        <v>86</v>
      </c>
      <c r="M347">
        <v>0</v>
      </c>
      <c r="N347" t="s">
        <v>177</v>
      </c>
      <c r="O347" t="s">
        <v>75</v>
      </c>
      <c r="P347" t="str">
        <f>INDEX(Teams!$B:$B,MATCH(E347,Teams!$A:$A,0))</f>
        <v>Chennai Super Kings</v>
      </c>
      <c r="Q347" t="str">
        <f>INDEX(Teams!$B:$B,MATCH(F347,Teams!$A:$A,0))</f>
        <v>Delhi Capitals</v>
      </c>
      <c r="R347" t="str">
        <f>INDEX(Teams!$B:$B,MATCH(G347,Teams!$A:$A,0))</f>
        <v>Chennai Super Kings</v>
      </c>
      <c r="S347" t="str">
        <f>IF(K347="","No result",INDEX(Teams!$B:$B,MATCH(K347,Teams!$A:$A,0)))</f>
        <v>Chennai Super Kings</v>
      </c>
      <c r="T347" t="str">
        <f>INDEX(Venues!$B:$B,MATCH(O347,Venues!$A:$A,0))</f>
        <v>Feroz Shah Kotla</v>
      </c>
      <c r="U347" t="str">
        <f>INDEX(Venues!$C:$C,MATCH(O347,Venues!$A:$A,0))</f>
        <v>Delhi</v>
      </c>
      <c r="V347" t="str">
        <f>IF(L347&gt;0,L347&amp;" runs",IF(M347&gt;0,M347&amp;" wickets","-"))</f>
        <v>86 runs</v>
      </c>
      <c r="W347">
        <f>IF(G347=K347,1,0)</f>
        <v>1</v>
      </c>
      <c r="X347">
        <f>IF(L347&gt;0,L347,"")</f>
        <v>86</v>
      </c>
      <c r="Y347" t="str">
        <f>IF(X347="","",IF(X347&gt;Stats!$B$15,"Outlier",""))</f>
        <v>Outlier</v>
      </c>
      <c r="Z347" t="str">
        <f>P347&amp;" vs "&amp;Q347</f>
        <v>Chennai Super Kings vs Delhi Capitals</v>
      </c>
    </row>
    <row r="348" spans="1:26" x14ac:dyDescent="0.25">
      <c r="A348">
        <v>405</v>
      </c>
      <c r="B348">
        <v>2013</v>
      </c>
      <c r="C348" s="5">
        <v>41383</v>
      </c>
      <c r="D348" t="s">
        <v>172</v>
      </c>
      <c r="E348" t="s">
        <v>26</v>
      </c>
      <c r="F348" t="s">
        <v>49</v>
      </c>
      <c r="G348" t="s">
        <v>26</v>
      </c>
      <c r="H348" t="s">
        <v>176</v>
      </c>
      <c r="I348" t="s">
        <v>174</v>
      </c>
      <c r="J348">
        <v>0</v>
      </c>
      <c r="K348" t="s">
        <v>49</v>
      </c>
      <c r="L348">
        <v>0</v>
      </c>
      <c r="M348">
        <v>5</v>
      </c>
      <c r="N348" t="s">
        <v>318</v>
      </c>
      <c r="O348" t="s">
        <v>111</v>
      </c>
      <c r="P348" t="str">
        <f>INDEX(Teams!$B:$B,MATCH(E348,Teams!$A:$A,0))</f>
        <v>Kings XI Punjab</v>
      </c>
      <c r="Q348" t="str">
        <f>INDEX(Teams!$B:$B,MATCH(F348,Teams!$A:$A,0))</f>
        <v>Sunrisers Hyderabad</v>
      </c>
      <c r="R348" t="str">
        <f>INDEX(Teams!$B:$B,MATCH(G348,Teams!$A:$A,0))</f>
        <v>Kings XI Punjab</v>
      </c>
      <c r="S348" t="str">
        <f>IF(K348="","No result",INDEX(Teams!$B:$B,MATCH(K348,Teams!$A:$A,0)))</f>
        <v>Sunrisers Hyderabad</v>
      </c>
      <c r="T348" t="str">
        <f>INDEX(Venues!$B:$B,MATCH(O348,Venues!$A:$A,0))</f>
        <v>Rajiv Gandhi International Stadium</v>
      </c>
      <c r="U348" t="str">
        <f>INDEX(Venues!$C:$C,MATCH(O348,Venues!$A:$A,0))</f>
        <v>Hyderabad</v>
      </c>
      <c r="V348" t="str">
        <f>IF(L348&gt;0,L348&amp;" runs",IF(M348&gt;0,M348&amp;" wickets","-"))</f>
        <v>5 wickets</v>
      </c>
      <c r="W348">
        <f>IF(G348=K348,1,0)</f>
        <v>0</v>
      </c>
      <c r="X348">
        <f>IF(L348&gt;0,L348,"")</f>
        <v/>
      </c>
      <c r="Y348">
        <f>IF(X348="","",IF(X348&gt;Stats!$B$15,"Outlier",""))</f>
        <v/>
      </c>
      <c r="Z348" t="str">
        <f>P348&amp;" vs "&amp;Q348</f>
        <v>Kings XI Punjab vs Sunrisers Hyderabad</v>
      </c>
    </row>
    <row r="349" spans="1:26" x14ac:dyDescent="0.25">
      <c r="A349">
        <v>406</v>
      </c>
      <c r="B349">
        <v>2013</v>
      </c>
      <c r="C349" s="5">
        <v>41384</v>
      </c>
      <c r="D349" t="s">
        <v>172</v>
      </c>
      <c r="E349" t="s">
        <v>32</v>
      </c>
      <c r="F349" t="s">
        <v>12</v>
      </c>
      <c r="G349" t="s">
        <v>32</v>
      </c>
      <c r="H349" t="s">
        <v>176</v>
      </c>
      <c r="I349" t="s">
        <v>174</v>
      </c>
      <c r="J349">
        <v>0</v>
      </c>
      <c r="K349" t="s">
        <v>12</v>
      </c>
      <c r="L349">
        <v>0</v>
      </c>
      <c r="M349">
        <v>4</v>
      </c>
      <c r="N349" t="s">
        <v>299</v>
      </c>
      <c r="O349" t="s">
        <v>73</v>
      </c>
      <c r="P349" t="str">
        <f>INDEX(Teams!$B:$B,MATCH(E349,Teams!$A:$A,0))</f>
        <v>Kolkata Knight Riders</v>
      </c>
      <c r="Q349" t="str">
        <f>INDEX(Teams!$B:$B,MATCH(F349,Teams!$A:$A,0))</f>
        <v>Chennai Super Kings</v>
      </c>
      <c r="R349" t="str">
        <f>INDEX(Teams!$B:$B,MATCH(G349,Teams!$A:$A,0))</f>
        <v>Kolkata Knight Riders</v>
      </c>
      <c r="S349" t="str">
        <f>IF(K349="","No result",INDEX(Teams!$B:$B,MATCH(K349,Teams!$A:$A,0)))</f>
        <v>Chennai Super Kings</v>
      </c>
      <c r="T349" t="str">
        <f>INDEX(Venues!$B:$B,MATCH(O349,Venues!$A:$A,0))</f>
        <v>Eden Gardens</v>
      </c>
      <c r="U349" t="str">
        <f>INDEX(Venues!$C:$C,MATCH(O349,Venues!$A:$A,0))</f>
        <v>Kolkata</v>
      </c>
      <c r="V349" t="str">
        <f>IF(L349&gt;0,L349&amp;" runs",IF(M349&gt;0,M349&amp;" wickets","-"))</f>
        <v>4 wickets</v>
      </c>
      <c r="W349">
        <f>IF(G349=K349,1,0)</f>
        <v>0</v>
      </c>
      <c r="X349">
        <f>IF(L349&gt;0,L349,"")</f>
        <v/>
      </c>
      <c r="Y349">
        <f>IF(X349="","",IF(X349&gt;Stats!$B$15,"Outlier",""))</f>
        <v/>
      </c>
      <c r="Z349" t="str">
        <f>P349&amp;" vs "&amp;Q349</f>
        <v>Kolkata Knight Riders vs Chennai Super Kings</v>
      </c>
    </row>
    <row r="350" spans="1:26" x14ac:dyDescent="0.25">
      <c r="A350">
        <v>407</v>
      </c>
      <c r="B350">
        <v>2013</v>
      </c>
      <c r="C350" s="5">
        <v>41384</v>
      </c>
      <c r="D350" t="s">
        <v>172</v>
      </c>
      <c r="E350" t="s">
        <v>41</v>
      </c>
      <c r="F350" t="s">
        <v>46</v>
      </c>
      <c r="G350" t="s">
        <v>46</v>
      </c>
      <c r="H350" t="s">
        <v>173</v>
      </c>
      <c r="I350" t="s">
        <v>174</v>
      </c>
      <c r="J350">
        <v>0</v>
      </c>
      <c r="K350" t="s">
        <v>46</v>
      </c>
      <c r="L350">
        <v>0</v>
      </c>
      <c r="M350">
        <v>7</v>
      </c>
      <c r="N350" t="s">
        <v>212</v>
      </c>
      <c r="O350" t="s">
        <v>92</v>
      </c>
      <c r="P350" t="str">
        <f>INDEX(Teams!$B:$B,MATCH(E350,Teams!$A:$A,0))</f>
        <v>Rajasthan Royals</v>
      </c>
      <c r="Q350" t="str">
        <f>INDEX(Teams!$B:$B,MATCH(F350,Teams!$A:$A,0))</f>
        <v>Royal Challengers Bangalore</v>
      </c>
      <c r="R350" t="str">
        <f>INDEX(Teams!$B:$B,MATCH(G350,Teams!$A:$A,0))</f>
        <v>Royal Challengers Bangalore</v>
      </c>
      <c r="S350" t="str">
        <f>IF(K350="","No result",INDEX(Teams!$B:$B,MATCH(K350,Teams!$A:$A,0)))</f>
        <v>Royal Challengers Bangalore</v>
      </c>
      <c r="T350" t="str">
        <f>INDEX(Venues!$B:$B,MATCH(O350,Venues!$A:$A,0))</f>
        <v>M Chinnaswamy Stadium</v>
      </c>
      <c r="U350" t="str">
        <f>INDEX(Venues!$C:$C,MATCH(O350,Venues!$A:$A,0))</f>
        <v>Bangalore</v>
      </c>
      <c r="V350" t="str">
        <f>IF(L350&gt;0,L350&amp;" runs",IF(M350&gt;0,M350&amp;" wickets","-"))</f>
        <v>7 wickets</v>
      </c>
      <c r="W350">
        <f>IF(G350=K350,1,0)</f>
        <v>1</v>
      </c>
      <c r="X350">
        <f>IF(L350&gt;0,L350,"")</f>
        <v/>
      </c>
      <c r="Y350">
        <f>IF(X350="","",IF(X350&gt;Stats!$B$15,"Outlier",""))</f>
        <v/>
      </c>
      <c r="Z350" t="str">
        <f>P350&amp;" vs "&amp;Q350</f>
        <v>Rajasthan Royals vs Royal Challengers Bangalore</v>
      </c>
    </row>
    <row r="351" spans="1:26" x14ac:dyDescent="0.25">
      <c r="A351">
        <v>408</v>
      </c>
      <c r="B351">
        <v>2013</v>
      </c>
      <c r="C351" s="5">
        <v>41385</v>
      </c>
      <c r="D351" t="s">
        <v>172</v>
      </c>
      <c r="E351" t="s">
        <v>35</v>
      </c>
      <c r="F351" t="s">
        <v>20</v>
      </c>
      <c r="G351" t="s">
        <v>35</v>
      </c>
      <c r="H351" t="s">
        <v>176</v>
      </c>
      <c r="I351" t="s">
        <v>174</v>
      </c>
      <c r="J351">
        <v>0</v>
      </c>
      <c r="K351" t="s">
        <v>20</v>
      </c>
      <c r="L351">
        <v>0</v>
      </c>
      <c r="M351">
        <v>9</v>
      </c>
      <c r="N351" t="s">
        <v>182</v>
      </c>
      <c r="O351" t="s">
        <v>75</v>
      </c>
      <c r="P351" t="str">
        <f>INDEX(Teams!$B:$B,MATCH(E351,Teams!$A:$A,0))</f>
        <v>Mumbai Indians</v>
      </c>
      <c r="Q351" t="str">
        <f>INDEX(Teams!$B:$B,MATCH(F351,Teams!$A:$A,0))</f>
        <v>Delhi Capitals</v>
      </c>
      <c r="R351" t="str">
        <f>INDEX(Teams!$B:$B,MATCH(G351,Teams!$A:$A,0))</f>
        <v>Mumbai Indians</v>
      </c>
      <c r="S351" t="str">
        <f>IF(K351="","No result",INDEX(Teams!$B:$B,MATCH(K351,Teams!$A:$A,0)))</f>
        <v>Delhi Capitals</v>
      </c>
      <c r="T351" t="str">
        <f>INDEX(Venues!$B:$B,MATCH(O351,Venues!$A:$A,0))</f>
        <v>Feroz Shah Kotla</v>
      </c>
      <c r="U351" t="str">
        <f>INDEX(Venues!$C:$C,MATCH(O351,Venues!$A:$A,0))</f>
        <v>Delhi</v>
      </c>
      <c r="V351" t="str">
        <f>IF(L351&gt;0,L351&amp;" runs",IF(M351&gt;0,M351&amp;" wickets","-"))</f>
        <v>9 wickets</v>
      </c>
      <c r="W351">
        <f>IF(G351=K351,1,0)</f>
        <v>0</v>
      </c>
      <c r="X351">
        <f>IF(L351&gt;0,L351,"")</f>
        <v/>
      </c>
      <c r="Y351">
        <f>IF(X351="","",IF(X351&gt;Stats!$B$15,"Outlier",""))</f>
        <v/>
      </c>
      <c r="Z351" t="str">
        <f>P351&amp;" vs "&amp;Q351</f>
        <v>Mumbai Indians vs Delhi Capitals</v>
      </c>
    </row>
    <row r="352" spans="1:26" x14ac:dyDescent="0.25">
      <c r="A352">
        <v>409</v>
      </c>
      <c r="B352">
        <v>2013</v>
      </c>
      <c r="C352" s="5">
        <v>41385</v>
      </c>
      <c r="D352" t="s">
        <v>172</v>
      </c>
      <c r="E352" t="s">
        <v>38</v>
      </c>
      <c r="F352" t="s">
        <v>26</v>
      </c>
      <c r="G352" t="s">
        <v>26</v>
      </c>
      <c r="H352" t="s">
        <v>173</v>
      </c>
      <c r="I352" t="s">
        <v>174</v>
      </c>
      <c r="J352">
        <v>0</v>
      </c>
      <c r="K352" t="s">
        <v>26</v>
      </c>
      <c r="L352">
        <v>0</v>
      </c>
      <c r="M352">
        <v>7</v>
      </c>
      <c r="N352" t="s">
        <v>322</v>
      </c>
      <c r="O352" t="s">
        <v>109</v>
      </c>
      <c r="P352" t="str">
        <f>INDEX(Teams!$B:$B,MATCH(E352,Teams!$A:$A,0))</f>
        <v>Pune Warriors</v>
      </c>
      <c r="Q352" t="str">
        <f>INDEX(Teams!$B:$B,MATCH(F352,Teams!$A:$A,0))</f>
        <v>Kings XI Punjab</v>
      </c>
      <c r="R352" t="str">
        <f>INDEX(Teams!$B:$B,MATCH(G352,Teams!$A:$A,0))</f>
        <v>Kings XI Punjab</v>
      </c>
      <c r="S352" t="str">
        <f>IF(K352="","No result",INDEX(Teams!$B:$B,MATCH(K352,Teams!$A:$A,0)))</f>
        <v>Kings XI Punjab</v>
      </c>
      <c r="T352" t="str">
        <f>INDEX(Venues!$B:$B,MATCH(O352,Venues!$A:$A,0))</f>
        <v>Punjab Cricket Association IS Bindra Stadium</v>
      </c>
      <c r="U352" t="str">
        <f>INDEX(Venues!$C:$C,MATCH(O352,Venues!$A:$A,0))</f>
        <v>Chandigarh</v>
      </c>
      <c r="V352" t="str">
        <f>IF(L352&gt;0,L352&amp;" runs",IF(M352&gt;0,M352&amp;" wickets","-"))</f>
        <v>7 wickets</v>
      </c>
      <c r="W352">
        <f>IF(G352=K352,1,0)</f>
        <v>1</v>
      </c>
      <c r="X352">
        <f>IF(L352&gt;0,L352,"")</f>
        <v/>
      </c>
      <c r="Y352">
        <f>IF(X352="","",IF(X352&gt;Stats!$B$15,"Outlier",""))</f>
        <v/>
      </c>
      <c r="Z352" t="str">
        <f>P352&amp;" vs "&amp;Q352</f>
        <v>Pune Warriors vs Kings XI Punjab</v>
      </c>
    </row>
    <row r="353" spans="1:26" x14ac:dyDescent="0.25">
      <c r="A353">
        <v>410</v>
      </c>
      <c r="B353">
        <v>2013</v>
      </c>
      <c r="C353" s="5">
        <v>41386</v>
      </c>
      <c r="D353" t="s">
        <v>172</v>
      </c>
      <c r="E353" t="s">
        <v>41</v>
      </c>
      <c r="F353" t="s">
        <v>12</v>
      </c>
      <c r="G353" t="s">
        <v>41</v>
      </c>
      <c r="H353" t="s">
        <v>176</v>
      </c>
      <c r="I353" t="s">
        <v>174</v>
      </c>
      <c r="J353">
        <v>0</v>
      </c>
      <c r="K353" t="s">
        <v>12</v>
      </c>
      <c r="L353">
        <v>0</v>
      </c>
      <c r="M353">
        <v>5</v>
      </c>
      <c r="N353" t="s">
        <v>177</v>
      </c>
      <c r="O353" t="s">
        <v>94</v>
      </c>
      <c r="P353" t="str">
        <f>INDEX(Teams!$B:$B,MATCH(E353,Teams!$A:$A,0))</f>
        <v>Rajasthan Royals</v>
      </c>
      <c r="Q353" t="str">
        <f>INDEX(Teams!$B:$B,MATCH(F353,Teams!$A:$A,0))</f>
        <v>Chennai Super Kings</v>
      </c>
      <c r="R353" t="str">
        <f>INDEX(Teams!$B:$B,MATCH(G353,Teams!$A:$A,0))</f>
        <v>Rajasthan Royals</v>
      </c>
      <c r="S353" t="str">
        <f>IF(K353="","No result",INDEX(Teams!$B:$B,MATCH(K353,Teams!$A:$A,0)))</f>
        <v>Chennai Super Kings</v>
      </c>
      <c r="T353" t="str">
        <f>INDEX(Venues!$B:$B,MATCH(O353,Venues!$A:$A,0))</f>
        <v>MA Chidambaram Stadium</v>
      </c>
      <c r="U353" t="str">
        <f>INDEX(Venues!$C:$C,MATCH(O353,Venues!$A:$A,0))</f>
        <v>Chennai</v>
      </c>
      <c r="V353" t="str">
        <f>IF(L353&gt;0,L353&amp;" runs",IF(M353&gt;0,M353&amp;" wickets","-"))</f>
        <v>5 wickets</v>
      </c>
      <c r="W353">
        <f>IF(G353=K353,1,0)</f>
        <v>0</v>
      </c>
      <c r="X353">
        <f>IF(L353&gt;0,L353,"")</f>
        <v/>
      </c>
      <c r="Y353">
        <f>IF(X353="","",IF(X353&gt;Stats!$B$15,"Outlier",""))</f>
        <v/>
      </c>
      <c r="Z353" t="str">
        <f>P353&amp;" vs "&amp;Q353</f>
        <v>Rajasthan Royals vs Chennai Super Kings</v>
      </c>
    </row>
    <row r="354" spans="1:26" x14ac:dyDescent="0.25">
      <c r="A354">
        <v>411</v>
      </c>
      <c r="B354">
        <v>2013</v>
      </c>
      <c r="C354" s="5">
        <v>41387</v>
      </c>
      <c r="D354" t="s">
        <v>172</v>
      </c>
      <c r="E354" t="s">
        <v>46</v>
      </c>
      <c r="F354" t="s">
        <v>38</v>
      </c>
      <c r="G354" t="s">
        <v>38</v>
      </c>
      <c r="H354" t="s">
        <v>173</v>
      </c>
      <c r="I354" t="s">
        <v>174</v>
      </c>
      <c r="J354">
        <v>0</v>
      </c>
      <c r="K354" t="s">
        <v>46</v>
      </c>
      <c r="L354">
        <v>130</v>
      </c>
      <c r="M354">
        <v>0</v>
      </c>
      <c r="N354" t="s">
        <v>222</v>
      </c>
      <c r="O354" t="s">
        <v>92</v>
      </c>
      <c r="P354" t="str">
        <f>INDEX(Teams!$B:$B,MATCH(E354,Teams!$A:$A,0))</f>
        <v>Royal Challengers Bangalore</v>
      </c>
      <c r="Q354" t="str">
        <f>INDEX(Teams!$B:$B,MATCH(F354,Teams!$A:$A,0))</f>
        <v>Pune Warriors</v>
      </c>
      <c r="R354" t="str">
        <f>INDEX(Teams!$B:$B,MATCH(G354,Teams!$A:$A,0))</f>
        <v>Pune Warriors</v>
      </c>
      <c r="S354" t="str">
        <f>IF(K354="","No result",INDEX(Teams!$B:$B,MATCH(K354,Teams!$A:$A,0)))</f>
        <v>Royal Challengers Bangalore</v>
      </c>
      <c r="T354" t="str">
        <f>INDEX(Venues!$B:$B,MATCH(O354,Venues!$A:$A,0))</f>
        <v>M Chinnaswamy Stadium</v>
      </c>
      <c r="U354" t="str">
        <f>INDEX(Venues!$C:$C,MATCH(O354,Venues!$A:$A,0))</f>
        <v>Bangalore</v>
      </c>
      <c r="V354" t="str">
        <f>IF(L354&gt;0,L354&amp;" runs",IF(M354&gt;0,M354&amp;" wickets","-"))</f>
        <v>130 runs</v>
      </c>
      <c r="W354">
        <f>IF(G354=K354,1,0)</f>
        <v>0</v>
      </c>
      <c r="X354">
        <f>IF(L354&gt;0,L354,"")</f>
        <v>130</v>
      </c>
      <c r="Y354" t="str">
        <f>IF(X354="","",IF(X354&gt;Stats!$B$15,"Outlier",""))</f>
        <v>Outlier</v>
      </c>
      <c r="Z354" t="str">
        <f>P354&amp;" vs "&amp;Q354</f>
        <v>Royal Challengers Bangalore vs Pune Warriors</v>
      </c>
    </row>
    <row r="355" spans="1:26" x14ac:dyDescent="0.25">
      <c r="A355">
        <v>443</v>
      </c>
      <c r="B355">
        <v>2013</v>
      </c>
      <c r="C355" s="5">
        <v>41387</v>
      </c>
      <c r="D355" t="s">
        <v>172</v>
      </c>
      <c r="E355" t="s">
        <v>20</v>
      </c>
      <c r="F355" t="s">
        <v>26</v>
      </c>
      <c r="G355" t="s">
        <v>26</v>
      </c>
      <c r="H355" t="s">
        <v>173</v>
      </c>
      <c r="I355" t="s">
        <v>174</v>
      </c>
      <c r="J355">
        <v>0</v>
      </c>
      <c r="K355" t="s">
        <v>26</v>
      </c>
      <c r="L355">
        <v>0</v>
      </c>
      <c r="M355">
        <v>5</v>
      </c>
      <c r="N355" t="s">
        <v>267</v>
      </c>
      <c r="O355" t="s">
        <v>75</v>
      </c>
      <c r="P355" t="str">
        <f>INDEX(Teams!$B:$B,MATCH(E355,Teams!$A:$A,0))</f>
        <v>Delhi Capitals</v>
      </c>
      <c r="Q355" t="str">
        <f>INDEX(Teams!$B:$B,MATCH(F355,Teams!$A:$A,0))</f>
        <v>Kings XI Punjab</v>
      </c>
      <c r="R355" t="str">
        <f>INDEX(Teams!$B:$B,MATCH(G355,Teams!$A:$A,0))</f>
        <v>Kings XI Punjab</v>
      </c>
      <c r="S355" t="str">
        <f>IF(K355="","No result",INDEX(Teams!$B:$B,MATCH(K355,Teams!$A:$A,0)))</f>
        <v>Kings XI Punjab</v>
      </c>
      <c r="T355" t="str">
        <f>INDEX(Venues!$B:$B,MATCH(O355,Venues!$A:$A,0))</f>
        <v>Feroz Shah Kotla</v>
      </c>
      <c r="U355" t="str">
        <f>INDEX(Venues!$C:$C,MATCH(O355,Venues!$A:$A,0))</f>
        <v>Delhi</v>
      </c>
      <c r="V355" t="str">
        <f>IF(L355&gt;0,L355&amp;" runs",IF(M355&gt;0,M355&amp;" wickets","-"))</f>
        <v>5 wickets</v>
      </c>
      <c r="W355">
        <f>IF(G355=K355,1,0)</f>
        <v>1</v>
      </c>
      <c r="X355">
        <f>IF(L355&gt;0,L355,"")</f>
        <v/>
      </c>
      <c r="Y355">
        <f>IF(X355="","",IF(X355&gt;Stats!$B$15,"Outlier",""))</f>
        <v/>
      </c>
      <c r="Z355" t="str">
        <f>P355&amp;" vs "&amp;Q355</f>
        <v>Delhi Capitals vs Kings XI Punjab</v>
      </c>
    </row>
    <row r="356" spans="1:26" x14ac:dyDescent="0.25">
      <c r="A356">
        <v>413</v>
      </c>
      <c r="B356">
        <v>2013</v>
      </c>
      <c r="C356" s="5">
        <v>41388</v>
      </c>
      <c r="D356" t="s">
        <v>172</v>
      </c>
      <c r="E356" t="s">
        <v>32</v>
      </c>
      <c r="F356" t="s">
        <v>35</v>
      </c>
      <c r="G356" t="s">
        <v>32</v>
      </c>
      <c r="H356" t="s">
        <v>176</v>
      </c>
      <c r="I356" t="s">
        <v>174</v>
      </c>
      <c r="J356">
        <v>0</v>
      </c>
      <c r="K356" t="s">
        <v>35</v>
      </c>
      <c r="L356">
        <v>0</v>
      </c>
      <c r="M356">
        <v>5</v>
      </c>
      <c r="N356" t="s">
        <v>238</v>
      </c>
      <c r="O356" t="s">
        <v>73</v>
      </c>
      <c r="P356" t="str">
        <f>INDEX(Teams!$B:$B,MATCH(E356,Teams!$A:$A,0))</f>
        <v>Kolkata Knight Riders</v>
      </c>
      <c r="Q356" t="str">
        <f>INDEX(Teams!$B:$B,MATCH(F356,Teams!$A:$A,0))</f>
        <v>Mumbai Indians</v>
      </c>
      <c r="R356" t="str">
        <f>INDEX(Teams!$B:$B,MATCH(G356,Teams!$A:$A,0))</f>
        <v>Kolkata Knight Riders</v>
      </c>
      <c r="S356" t="str">
        <f>IF(K356="","No result",INDEX(Teams!$B:$B,MATCH(K356,Teams!$A:$A,0)))</f>
        <v>Mumbai Indians</v>
      </c>
      <c r="T356" t="str">
        <f>INDEX(Venues!$B:$B,MATCH(O356,Venues!$A:$A,0))</f>
        <v>Eden Gardens</v>
      </c>
      <c r="U356" t="str">
        <f>INDEX(Venues!$C:$C,MATCH(O356,Venues!$A:$A,0))</f>
        <v>Kolkata</v>
      </c>
      <c r="V356" t="str">
        <f>IF(L356&gt;0,L356&amp;" runs",IF(M356&gt;0,M356&amp;" wickets","-"))</f>
        <v>5 wickets</v>
      </c>
      <c r="W356">
        <f>IF(G356=K356,1,0)</f>
        <v>0</v>
      </c>
      <c r="X356">
        <f>IF(L356&gt;0,L356,"")</f>
        <v/>
      </c>
      <c r="Y356">
        <f>IF(X356="","",IF(X356&gt;Stats!$B$15,"Outlier",""))</f>
        <v/>
      </c>
      <c r="Z356" t="str">
        <f>P356&amp;" vs "&amp;Q356</f>
        <v>Kolkata Knight Riders vs Mumbai Indians</v>
      </c>
    </row>
    <row r="357" spans="1:26" x14ac:dyDescent="0.25">
      <c r="A357">
        <v>414</v>
      </c>
      <c r="B357">
        <v>2013</v>
      </c>
      <c r="C357" s="5">
        <v>41389</v>
      </c>
      <c r="D357" t="s">
        <v>172</v>
      </c>
      <c r="E357" t="s">
        <v>49</v>
      </c>
      <c r="F357" t="s">
        <v>12</v>
      </c>
      <c r="G357" t="s">
        <v>49</v>
      </c>
      <c r="H357" t="s">
        <v>176</v>
      </c>
      <c r="I357" t="s">
        <v>174</v>
      </c>
      <c r="J357">
        <v>0</v>
      </c>
      <c r="K357" t="s">
        <v>12</v>
      </c>
      <c r="L357">
        <v>0</v>
      </c>
      <c r="M357">
        <v>5</v>
      </c>
      <c r="N357" t="s">
        <v>189</v>
      </c>
      <c r="O357" t="s">
        <v>94</v>
      </c>
      <c r="P357" t="str">
        <f>INDEX(Teams!$B:$B,MATCH(E357,Teams!$A:$A,0))</f>
        <v>Sunrisers Hyderabad</v>
      </c>
      <c r="Q357" t="str">
        <f>INDEX(Teams!$B:$B,MATCH(F357,Teams!$A:$A,0))</f>
        <v>Chennai Super Kings</v>
      </c>
      <c r="R357" t="str">
        <f>INDEX(Teams!$B:$B,MATCH(G357,Teams!$A:$A,0))</f>
        <v>Sunrisers Hyderabad</v>
      </c>
      <c r="S357" t="str">
        <f>IF(K357="","No result",INDEX(Teams!$B:$B,MATCH(K357,Teams!$A:$A,0)))</f>
        <v>Chennai Super Kings</v>
      </c>
      <c r="T357" t="str">
        <f>INDEX(Venues!$B:$B,MATCH(O357,Venues!$A:$A,0))</f>
        <v>MA Chidambaram Stadium</v>
      </c>
      <c r="U357" t="str">
        <f>INDEX(Venues!$C:$C,MATCH(O357,Venues!$A:$A,0))</f>
        <v>Chennai</v>
      </c>
      <c r="V357" t="str">
        <f>IF(L357&gt;0,L357&amp;" runs",IF(M357&gt;0,M357&amp;" wickets","-"))</f>
        <v>5 wickets</v>
      </c>
      <c r="W357">
        <f>IF(G357=K357,1,0)</f>
        <v>0</v>
      </c>
      <c r="X357">
        <f>IF(L357&gt;0,L357,"")</f>
        <v/>
      </c>
      <c r="Y357">
        <f>IF(X357="","",IF(X357&gt;Stats!$B$15,"Outlier",""))</f>
        <v/>
      </c>
      <c r="Z357" t="str">
        <f>P357&amp;" vs "&amp;Q357</f>
        <v>Sunrisers Hyderabad vs Chennai Super Kings</v>
      </c>
    </row>
    <row r="358" spans="1:26" x14ac:dyDescent="0.25">
      <c r="A358">
        <v>415</v>
      </c>
      <c r="B358">
        <v>2013</v>
      </c>
      <c r="C358" s="5">
        <v>41390</v>
      </c>
      <c r="D358" t="s">
        <v>172</v>
      </c>
      <c r="E358" t="s">
        <v>26</v>
      </c>
      <c r="F358" t="s">
        <v>32</v>
      </c>
      <c r="G358" t="s">
        <v>26</v>
      </c>
      <c r="H358" t="s">
        <v>176</v>
      </c>
      <c r="I358" t="s">
        <v>174</v>
      </c>
      <c r="J358">
        <v>0</v>
      </c>
      <c r="K358" t="s">
        <v>32</v>
      </c>
      <c r="L358">
        <v>0</v>
      </c>
      <c r="M358">
        <v>6</v>
      </c>
      <c r="N358" t="s">
        <v>233</v>
      </c>
      <c r="O358" t="s">
        <v>73</v>
      </c>
      <c r="P358" t="str">
        <f>INDEX(Teams!$B:$B,MATCH(E358,Teams!$A:$A,0))</f>
        <v>Kings XI Punjab</v>
      </c>
      <c r="Q358" t="str">
        <f>INDEX(Teams!$B:$B,MATCH(F358,Teams!$A:$A,0))</f>
        <v>Kolkata Knight Riders</v>
      </c>
      <c r="R358" t="str">
        <f>INDEX(Teams!$B:$B,MATCH(G358,Teams!$A:$A,0))</f>
        <v>Kings XI Punjab</v>
      </c>
      <c r="S358" t="str">
        <f>IF(K358="","No result",INDEX(Teams!$B:$B,MATCH(K358,Teams!$A:$A,0)))</f>
        <v>Kolkata Knight Riders</v>
      </c>
      <c r="T358" t="str">
        <f>INDEX(Venues!$B:$B,MATCH(O358,Venues!$A:$A,0))</f>
        <v>Eden Gardens</v>
      </c>
      <c r="U358" t="str">
        <f>INDEX(Venues!$C:$C,MATCH(O358,Venues!$A:$A,0))</f>
        <v>Kolkata</v>
      </c>
      <c r="V358" t="str">
        <f>IF(L358&gt;0,L358&amp;" runs",IF(M358&gt;0,M358&amp;" wickets","-"))</f>
        <v>6 wickets</v>
      </c>
      <c r="W358">
        <f>IF(G358=K358,1,0)</f>
        <v>0</v>
      </c>
      <c r="X358">
        <f>IF(L358&gt;0,L358,"")</f>
        <v/>
      </c>
      <c r="Y358">
        <f>IF(X358="","",IF(X358&gt;Stats!$B$15,"Outlier",""))</f>
        <v/>
      </c>
      <c r="Z358" t="str">
        <f>P358&amp;" vs "&amp;Q358</f>
        <v>Kings XI Punjab vs Kolkata Knight Riders</v>
      </c>
    </row>
    <row r="359" spans="1:26" x14ac:dyDescent="0.25">
      <c r="A359">
        <v>416</v>
      </c>
      <c r="B359">
        <v>2013</v>
      </c>
      <c r="C359" s="5">
        <v>41391</v>
      </c>
      <c r="D359" t="s">
        <v>172</v>
      </c>
      <c r="E359" t="s">
        <v>49</v>
      </c>
      <c r="F359" t="s">
        <v>41</v>
      </c>
      <c r="G359" t="s">
        <v>49</v>
      </c>
      <c r="H359" t="s">
        <v>176</v>
      </c>
      <c r="I359" t="s">
        <v>174</v>
      </c>
      <c r="J359">
        <v>0</v>
      </c>
      <c r="K359" t="s">
        <v>41</v>
      </c>
      <c r="L359">
        <v>0</v>
      </c>
      <c r="M359">
        <v>8</v>
      </c>
      <c r="N359" t="s">
        <v>320</v>
      </c>
      <c r="O359" t="s">
        <v>118</v>
      </c>
      <c r="P359" t="str">
        <f>INDEX(Teams!$B:$B,MATCH(E359,Teams!$A:$A,0))</f>
        <v>Sunrisers Hyderabad</v>
      </c>
      <c r="Q359" t="str">
        <f>INDEX(Teams!$B:$B,MATCH(F359,Teams!$A:$A,0))</f>
        <v>Rajasthan Royals</v>
      </c>
      <c r="R359" t="str">
        <f>INDEX(Teams!$B:$B,MATCH(G359,Teams!$A:$A,0))</f>
        <v>Sunrisers Hyderabad</v>
      </c>
      <c r="S359" t="str">
        <f>IF(K359="","No result",INDEX(Teams!$B:$B,MATCH(K359,Teams!$A:$A,0)))</f>
        <v>Rajasthan Royals</v>
      </c>
      <c r="T359" t="str">
        <f>INDEX(Venues!$B:$B,MATCH(O359,Venues!$A:$A,0))</f>
        <v>Sawai Mansingh Stadium</v>
      </c>
      <c r="U359" t="str">
        <f>INDEX(Venues!$C:$C,MATCH(O359,Venues!$A:$A,0))</f>
        <v>Jaipur</v>
      </c>
      <c r="V359" t="str">
        <f>IF(L359&gt;0,L359&amp;" runs",IF(M359&gt;0,M359&amp;" wickets","-"))</f>
        <v>8 wickets</v>
      </c>
      <c r="W359">
        <f>IF(G359=K359,1,0)</f>
        <v>0</v>
      </c>
      <c r="X359">
        <f>IF(L359&gt;0,L359,"")</f>
        <v/>
      </c>
      <c r="Y359">
        <f>IF(X359="","",IF(X359&gt;Stats!$B$15,"Outlier",""))</f>
        <v/>
      </c>
      <c r="Z359" t="str">
        <f>P359&amp;" vs "&amp;Q359</f>
        <v>Sunrisers Hyderabad vs Rajasthan Royals</v>
      </c>
    </row>
    <row r="360" spans="1:26" x14ac:dyDescent="0.25">
      <c r="A360">
        <v>417</v>
      </c>
      <c r="B360">
        <v>2013</v>
      </c>
      <c r="C360" s="5">
        <v>41391</v>
      </c>
      <c r="D360" t="s">
        <v>172</v>
      </c>
      <c r="E360" t="s">
        <v>35</v>
      </c>
      <c r="F360" t="s">
        <v>46</v>
      </c>
      <c r="G360" t="s">
        <v>35</v>
      </c>
      <c r="H360" t="s">
        <v>176</v>
      </c>
      <c r="I360" t="s">
        <v>174</v>
      </c>
      <c r="J360">
        <v>0</v>
      </c>
      <c r="K360" t="s">
        <v>35</v>
      </c>
      <c r="L360">
        <v>58</v>
      </c>
      <c r="M360">
        <v>0</v>
      </c>
      <c r="N360" t="s">
        <v>238</v>
      </c>
      <c r="O360" t="s">
        <v>138</v>
      </c>
      <c r="P360" t="str">
        <f>INDEX(Teams!$B:$B,MATCH(E360,Teams!$A:$A,0))</f>
        <v>Mumbai Indians</v>
      </c>
      <c r="Q360" t="str">
        <f>INDEX(Teams!$B:$B,MATCH(F360,Teams!$A:$A,0))</f>
        <v>Royal Challengers Bangalore</v>
      </c>
      <c r="R360" t="str">
        <f>INDEX(Teams!$B:$B,MATCH(G360,Teams!$A:$A,0))</f>
        <v>Mumbai Indians</v>
      </c>
      <c r="S360" t="str">
        <f>IF(K360="","No result",INDEX(Teams!$B:$B,MATCH(K360,Teams!$A:$A,0)))</f>
        <v>Mumbai Indians</v>
      </c>
      <c r="T360" t="str">
        <f>INDEX(Venues!$B:$B,MATCH(O360,Venues!$A:$A,0))</f>
        <v>Wankhede Stadium</v>
      </c>
      <c r="U360" t="str">
        <f>INDEX(Venues!$C:$C,MATCH(O360,Venues!$A:$A,0))</f>
        <v>Mumbai</v>
      </c>
      <c r="V360" t="str">
        <f>IF(L360&gt;0,L360&amp;" runs",IF(M360&gt;0,M360&amp;" wickets","-"))</f>
        <v>58 runs</v>
      </c>
      <c r="W360">
        <f>IF(G360=K360,1,0)</f>
        <v>1</v>
      </c>
      <c r="X360">
        <f>IF(L360&gt;0,L360,"")</f>
        <v>58</v>
      </c>
      <c r="Y360">
        <f>IF(X360="","",IF(X360&gt;Stats!$B$15,"Outlier",""))</f>
        <v/>
      </c>
      <c r="Z360" t="str">
        <f>P360&amp;" vs "&amp;Q360</f>
        <v>Mumbai Indians vs Royal Challengers Bangalore</v>
      </c>
    </row>
    <row r="361" spans="1:26" x14ac:dyDescent="0.25">
      <c r="A361">
        <v>418</v>
      </c>
      <c r="B361">
        <v>2013</v>
      </c>
      <c r="C361" s="5">
        <v>41392</v>
      </c>
      <c r="D361" t="s">
        <v>172</v>
      </c>
      <c r="E361" t="s">
        <v>12</v>
      </c>
      <c r="F361" t="s">
        <v>32</v>
      </c>
      <c r="G361" t="s">
        <v>32</v>
      </c>
      <c r="H361" t="s">
        <v>173</v>
      </c>
      <c r="I361" t="s">
        <v>174</v>
      </c>
      <c r="J361">
        <v>0</v>
      </c>
      <c r="K361" t="s">
        <v>12</v>
      </c>
      <c r="L361">
        <v>14</v>
      </c>
      <c r="M361">
        <v>0</v>
      </c>
      <c r="N361" t="s">
        <v>177</v>
      </c>
      <c r="O361" t="s">
        <v>94</v>
      </c>
      <c r="P361" t="str">
        <f>INDEX(Teams!$B:$B,MATCH(E361,Teams!$A:$A,0))</f>
        <v>Chennai Super Kings</v>
      </c>
      <c r="Q361" t="str">
        <f>INDEX(Teams!$B:$B,MATCH(F361,Teams!$A:$A,0))</f>
        <v>Kolkata Knight Riders</v>
      </c>
      <c r="R361" t="str">
        <f>INDEX(Teams!$B:$B,MATCH(G361,Teams!$A:$A,0))</f>
        <v>Kolkata Knight Riders</v>
      </c>
      <c r="S361" t="str">
        <f>IF(K361="","No result",INDEX(Teams!$B:$B,MATCH(K361,Teams!$A:$A,0)))</f>
        <v>Chennai Super Kings</v>
      </c>
      <c r="T361" t="str">
        <f>INDEX(Venues!$B:$B,MATCH(O361,Venues!$A:$A,0))</f>
        <v>MA Chidambaram Stadium</v>
      </c>
      <c r="U361" t="str">
        <f>INDEX(Venues!$C:$C,MATCH(O361,Venues!$A:$A,0))</f>
        <v>Chennai</v>
      </c>
      <c r="V361" t="str">
        <f>IF(L361&gt;0,L361&amp;" runs",IF(M361&gt;0,M361&amp;" wickets","-"))</f>
        <v>14 runs</v>
      </c>
      <c r="W361">
        <f>IF(G361=K361,1,0)</f>
        <v>0</v>
      </c>
      <c r="X361">
        <f>IF(L361&gt;0,L361,"")</f>
        <v>14</v>
      </c>
      <c r="Y361">
        <f>IF(X361="","",IF(X361&gt;Stats!$B$15,"Outlier",""))</f>
        <v/>
      </c>
      <c r="Z361" t="str">
        <f>P361&amp;" vs "&amp;Q361</f>
        <v>Chennai Super Kings vs Kolkata Knight Riders</v>
      </c>
    </row>
    <row r="362" spans="1:26" x14ac:dyDescent="0.25">
      <c r="A362">
        <v>419</v>
      </c>
      <c r="B362">
        <v>2013</v>
      </c>
      <c r="C362" s="5">
        <v>41392</v>
      </c>
      <c r="D362" t="s">
        <v>172</v>
      </c>
      <c r="E362" t="s">
        <v>20</v>
      </c>
      <c r="F362" t="s">
        <v>38</v>
      </c>
      <c r="G362" t="s">
        <v>38</v>
      </c>
      <c r="H362" t="s">
        <v>173</v>
      </c>
      <c r="I362" t="s">
        <v>174</v>
      </c>
      <c r="J362">
        <v>0</v>
      </c>
      <c r="K362" t="s">
        <v>20</v>
      </c>
      <c r="L362">
        <v>15</v>
      </c>
      <c r="M362">
        <v>0</v>
      </c>
      <c r="N362" t="s">
        <v>257</v>
      </c>
      <c r="O362" t="s">
        <v>120</v>
      </c>
      <c r="P362" t="str">
        <f>INDEX(Teams!$B:$B,MATCH(E362,Teams!$A:$A,0))</f>
        <v>Delhi Capitals</v>
      </c>
      <c r="Q362" t="str">
        <f>INDEX(Teams!$B:$B,MATCH(F362,Teams!$A:$A,0))</f>
        <v>Pune Warriors</v>
      </c>
      <c r="R362" t="str">
        <f>INDEX(Teams!$B:$B,MATCH(G362,Teams!$A:$A,0))</f>
        <v>Pune Warriors</v>
      </c>
      <c r="S362" t="str">
        <f>IF(K362="","No result",INDEX(Teams!$B:$B,MATCH(K362,Teams!$A:$A,0)))</f>
        <v>Delhi Capitals</v>
      </c>
      <c r="T362" t="str">
        <f>INDEX(Venues!$B:$B,MATCH(O362,Venues!$A:$A,0))</f>
        <v>Shaheed Veer Narayan Singh International Stadium</v>
      </c>
      <c r="U362" t="str">
        <f>INDEX(Venues!$C:$C,MATCH(O362,Venues!$A:$A,0))</f>
        <v>Raipur</v>
      </c>
      <c r="V362" t="str">
        <f>IF(L362&gt;0,L362&amp;" runs",IF(M362&gt;0,M362&amp;" wickets","-"))</f>
        <v>15 runs</v>
      </c>
      <c r="W362">
        <f>IF(G362=K362,1,0)</f>
        <v>0</v>
      </c>
      <c r="X362">
        <f>IF(L362&gt;0,L362,"")</f>
        <v>15</v>
      </c>
      <c r="Y362">
        <f>IF(X362="","",IF(X362&gt;Stats!$B$15,"Outlier",""))</f>
        <v/>
      </c>
      <c r="Z362" t="str">
        <f>P362&amp;" vs "&amp;Q362</f>
        <v>Delhi Capitals vs Pune Warriors</v>
      </c>
    </row>
    <row r="363" spans="1:26" x14ac:dyDescent="0.25">
      <c r="A363">
        <v>420</v>
      </c>
      <c r="B363">
        <v>2013</v>
      </c>
      <c r="C363" s="5">
        <v>41393</v>
      </c>
      <c r="D363" t="s">
        <v>172</v>
      </c>
      <c r="E363" t="s">
        <v>46</v>
      </c>
      <c r="F363" t="s">
        <v>41</v>
      </c>
      <c r="G363" t="s">
        <v>41</v>
      </c>
      <c r="H363" t="s">
        <v>173</v>
      </c>
      <c r="I363" t="s">
        <v>174</v>
      </c>
      <c r="J363">
        <v>0</v>
      </c>
      <c r="K363" t="s">
        <v>41</v>
      </c>
      <c r="L363">
        <v>0</v>
      </c>
      <c r="M363">
        <v>4</v>
      </c>
      <c r="N363" t="s">
        <v>323</v>
      </c>
      <c r="O363" t="s">
        <v>118</v>
      </c>
      <c r="P363" t="str">
        <f>INDEX(Teams!$B:$B,MATCH(E363,Teams!$A:$A,0))</f>
        <v>Royal Challengers Bangalore</v>
      </c>
      <c r="Q363" t="str">
        <f>INDEX(Teams!$B:$B,MATCH(F363,Teams!$A:$A,0))</f>
        <v>Rajasthan Royals</v>
      </c>
      <c r="R363" t="str">
        <f>INDEX(Teams!$B:$B,MATCH(G363,Teams!$A:$A,0))</f>
        <v>Rajasthan Royals</v>
      </c>
      <c r="S363" t="str">
        <f>IF(K363="","No result",INDEX(Teams!$B:$B,MATCH(K363,Teams!$A:$A,0)))</f>
        <v>Rajasthan Royals</v>
      </c>
      <c r="T363" t="str">
        <f>INDEX(Venues!$B:$B,MATCH(O363,Venues!$A:$A,0))</f>
        <v>Sawai Mansingh Stadium</v>
      </c>
      <c r="U363" t="str">
        <f>INDEX(Venues!$C:$C,MATCH(O363,Venues!$A:$A,0))</f>
        <v>Jaipur</v>
      </c>
      <c r="V363" t="str">
        <f>IF(L363&gt;0,L363&amp;" runs",IF(M363&gt;0,M363&amp;" wickets","-"))</f>
        <v>4 wickets</v>
      </c>
      <c r="W363">
        <f>IF(G363=K363,1,0)</f>
        <v>1</v>
      </c>
      <c r="X363">
        <f>IF(L363&gt;0,L363,"")</f>
        <v/>
      </c>
      <c r="Y363">
        <f>IF(X363="","",IF(X363&gt;Stats!$B$15,"Outlier",""))</f>
        <v/>
      </c>
      <c r="Z363" t="str">
        <f>P363&amp;" vs "&amp;Q363</f>
        <v>Royal Challengers Bangalore vs Rajasthan Royals</v>
      </c>
    </row>
    <row r="364" spans="1:26" x14ac:dyDescent="0.25">
      <c r="A364">
        <v>421</v>
      </c>
      <c r="B364">
        <v>2013</v>
      </c>
      <c r="C364" s="5">
        <v>41393</v>
      </c>
      <c r="D364" t="s">
        <v>172</v>
      </c>
      <c r="E364" t="s">
        <v>35</v>
      </c>
      <c r="F364" t="s">
        <v>26</v>
      </c>
      <c r="G364" t="s">
        <v>35</v>
      </c>
      <c r="H364" t="s">
        <v>176</v>
      </c>
      <c r="I364" t="s">
        <v>174</v>
      </c>
      <c r="J364">
        <v>0</v>
      </c>
      <c r="K364" t="s">
        <v>35</v>
      </c>
      <c r="L364">
        <v>4</v>
      </c>
      <c r="M364">
        <v>0</v>
      </c>
      <c r="N364" t="s">
        <v>235</v>
      </c>
      <c r="O364" t="s">
        <v>138</v>
      </c>
      <c r="P364" t="str">
        <f>INDEX(Teams!$B:$B,MATCH(E364,Teams!$A:$A,0))</f>
        <v>Mumbai Indians</v>
      </c>
      <c r="Q364" t="str">
        <f>INDEX(Teams!$B:$B,MATCH(F364,Teams!$A:$A,0))</f>
        <v>Kings XI Punjab</v>
      </c>
      <c r="R364" t="str">
        <f>INDEX(Teams!$B:$B,MATCH(G364,Teams!$A:$A,0))</f>
        <v>Mumbai Indians</v>
      </c>
      <c r="S364" t="str">
        <f>IF(K364="","No result",INDEX(Teams!$B:$B,MATCH(K364,Teams!$A:$A,0)))</f>
        <v>Mumbai Indians</v>
      </c>
      <c r="T364" t="str">
        <f>INDEX(Venues!$B:$B,MATCH(O364,Venues!$A:$A,0))</f>
        <v>Wankhede Stadium</v>
      </c>
      <c r="U364" t="str">
        <f>INDEX(Venues!$C:$C,MATCH(O364,Venues!$A:$A,0))</f>
        <v>Mumbai</v>
      </c>
      <c r="V364" t="str">
        <f>IF(L364&gt;0,L364&amp;" runs",IF(M364&gt;0,M364&amp;" wickets","-"))</f>
        <v>4 runs</v>
      </c>
      <c r="W364">
        <f>IF(G364=K364,1,0)</f>
        <v>1</v>
      </c>
      <c r="X364">
        <f>IF(L364&gt;0,L364,"")</f>
        <v>4</v>
      </c>
      <c r="Y364">
        <f>IF(X364="","",IF(X364&gt;Stats!$B$15,"Outlier",""))</f>
        <v/>
      </c>
      <c r="Z364" t="str">
        <f>P364&amp;" vs "&amp;Q364</f>
        <v>Mumbai Indians vs Kings XI Punjab</v>
      </c>
    </row>
    <row r="365" spans="1:26" x14ac:dyDescent="0.25">
      <c r="A365">
        <v>422</v>
      </c>
      <c r="B365">
        <v>2013</v>
      </c>
      <c r="C365" s="5">
        <v>41394</v>
      </c>
      <c r="D365" t="s">
        <v>172</v>
      </c>
      <c r="E365" t="s">
        <v>12</v>
      </c>
      <c r="F365" t="s">
        <v>38</v>
      </c>
      <c r="G365" t="s">
        <v>12</v>
      </c>
      <c r="H365" t="s">
        <v>176</v>
      </c>
      <c r="I365" t="s">
        <v>174</v>
      </c>
      <c r="J365">
        <v>0</v>
      </c>
      <c r="K365" t="s">
        <v>12</v>
      </c>
      <c r="L365">
        <v>37</v>
      </c>
      <c r="M365">
        <v>0</v>
      </c>
      <c r="N365" t="s">
        <v>189</v>
      </c>
      <c r="O365" t="s">
        <v>96</v>
      </c>
      <c r="P365" t="str">
        <f>INDEX(Teams!$B:$B,MATCH(E365,Teams!$A:$A,0))</f>
        <v>Chennai Super Kings</v>
      </c>
      <c r="Q365" t="str">
        <f>INDEX(Teams!$B:$B,MATCH(F365,Teams!$A:$A,0))</f>
        <v>Pune Warriors</v>
      </c>
      <c r="R365" t="str">
        <f>INDEX(Teams!$B:$B,MATCH(G365,Teams!$A:$A,0))</f>
        <v>Chennai Super Kings</v>
      </c>
      <c r="S365" t="str">
        <f>IF(K365="","No result",INDEX(Teams!$B:$B,MATCH(K365,Teams!$A:$A,0)))</f>
        <v>Chennai Super Kings</v>
      </c>
      <c r="T365" t="str">
        <f>INDEX(Venues!$B:$B,MATCH(O365,Venues!$A:$A,0))</f>
        <v>Maharashtra Cricket Association Stadium</v>
      </c>
      <c r="U365" t="str">
        <f>INDEX(Venues!$C:$C,MATCH(O365,Venues!$A:$A,0))</f>
        <v>Pune</v>
      </c>
      <c r="V365" t="str">
        <f>IF(L365&gt;0,L365&amp;" runs",IF(M365&gt;0,M365&amp;" wickets","-"))</f>
        <v>37 runs</v>
      </c>
      <c r="W365">
        <f>IF(G365=K365,1,0)</f>
        <v>1</v>
      </c>
      <c r="X365">
        <f>IF(L365&gt;0,L365,"")</f>
        <v>37</v>
      </c>
      <c r="Y365">
        <f>IF(X365="","",IF(X365&gt;Stats!$B$15,"Outlier",""))</f>
        <v/>
      </c>
      <c r="Z365" t="str">
        <f>P365&amp;" vs "&amp;Q365</f>
        <v>Chennai Super Kings vs Pune Warriors</v>
      </c>
    </row>
    <row r="366" spans="1:26" x14ac:dyDescent="0.25">
      <c r="A366">
        <v>423</v>
      </c>
      <c r="B366">
        <v>2013</v>
      </c>
      <c r="C366" s="5">
        <v>41395</v>
      </c>
      <c r="D366" t="s">
        <v>172</v>
      </c>
      <c r="E366" t="s">
        <v>35</v>
      </c>
      <c r="F366" t="s">
        <v>49</v>
      </c>
      <c r="G366" t="s">
        <v>35</v>
      </c>
      <c r="H366" t="s">
        <v>176</v>
      </c>
      <c r="I366" t="s">
        <v>174</v>
      </c>
      <c r="J366">
        <v>0</v>
      </c>
      <c r="K366" t="s">
        <v>49</v>
      </c>
      <c r="L366">
        <v>0</v>
      </c>
      <c r="M366">
        <v>7</v>
      </c>
      <c r="N366" t="s">
        <v>283</v>
      </c>
      <c r="O366" t="s">
        <v>111</v>
      </c>
      <c r="P366" t="str">
        <f>INDEX(Teams!$B:$B,MATCH(E366,Teams!$A:$A,0))</f>
        <v>Mumbai Indians</v>
      </c>
      <c r="Q366" t="str">
        <f>INDEX(Teams!$B:$B,MATCH(F366,Teams!$A:$A,0))</f>
        <v>Sunrisers Hyderabad</v>
      </c>
      <c r="R366" t="str">
        <f>INDEX(Teams!$B:$B,MATCH(G366,Teams!$A:$A,0))</f>
        <v>Mumbai Indians</v>
      </c>
      <c r="S366" t="str">
        <f>IF(K366="","No result",INDEX(Teams!$B:$B,MATCH(K366,Teams!$A:$A,0)))</f>
        <v>Sunrisers Hyderabad</v>
      </c>
      <c r="T366" t="str">
        <f>INDEX(Venues!$B:$B,MATCH(O366,Venues!$A:$A,0))</f>
        <v>Rajiv Gandhi International Stadium</v>
      </c>
      <c r="U366" t="str">
        <f>INDEX(Venues!$C:$C,MATCH(O366,Venues!$A:$A,0))</f>
        <v>Hyderabad</v>
      </c>
      <c r="V366" t="str">
        <f>IF(L366&gt;0,L366&amp;" runs",IF(M366&gt;0,M366&amp;" wickets","-"))</f>
        <v>7 wickets</v>
      </c>
      <c r="W366">
        <f>IF(G366=K366,1,0)</f>
        <v>0</v>
      </c>
      <c r="X366">
        <f>IF(L366&gt;0,L366,"")</f>
        <v/>
      </c>
      <c r="Y366">
        <f>IF(X366="","",IF(X366&gt;Stats!$B$15,"Outlier",""))</f>
        <v/>
      </c>
      <c r="Z366" t="str">
        <f>P366&amp;" vs "&amp;Q366</f>
        <v>Mumbai Indians vs Sunrisers Hyderabad</v>
      </c>
    </row>
    <row r="367" spans="1:26" x14ac:dyDescent="0.25">
      <c r="A367">
        <v>424</v>
      </c>
      <c r="B367">
        <v>2013</v>
      </c>
      <c r="C367" s="5">
        <v>41395</v>
      </c>
      <c r="D367" t="s">
        <v>172</v>
      </c>
      <c r="E367" t="s">
        <v>32</v>
      </c>
      <c r="F367" t="s">
        <v>20</v>
      </c>
      <c r="G367" t="s">
        <v>32</v>
      </c>
      <c r="H367" t="s">
        <v>176</v>
      </c>
      <c r="I367" t="s">
        <v>174</v>
      </c>
      <c r="J367">
        <v>0</v>
      </c>
      <c r="K367" t="s">
        <v>20</v>
      </c>
      <c r="L367">
        <v>0</v>
      </c>
      <c r="M367">
        <v>7</v>
      </c>
      <c r="N367" t="s">
        <v>257</v>
      </c>
      <c r="O367" t="s">
        <v>120</v>
      </c>
      <c r="P367" t="str">
        <f>INDEX(Teams!$B:$B,MATCH(E367,Teams!$A:$A,0))</f>
        <v>Kolkata Knight Riders</v>
      </c>
      <c r="Q367" t="str">
        <f>INDEX(Teams!$B:$B,MATCH(F367,Teams!$A:$A,0))</f>
        <v>Delhi Capitals</v>
      </c>
      <c r="R367" t="str">
        <f>INDEX(Teams!$B:$B,MATCH(G367,Teams!$A:$A,0))</f>
        <v>Kolkata Knight Riders</v>
      </c>
      <c r="S367" t="str">
        <f>IF(K367="","No result",INDEX(Teams!$B:$B,MATCH(K367,Teams!$A:$A,0)))</f>
        <v>Delhi Capitals</v>
      </c>
      <c r="T367" t="str">
        <f>INDEX(Venues!$B:$B,MATCH(O367,Venues!$A:$A,0))</f>
        <v>Shaheed Veer Narayan Singh International Stadium</v>
      </c>
      <c r="U367" t="str">
        <f>INDEX(Venues!$C:$C,MATCH(O367,Venues!$A:$A,0))</f>
        <v>Raipur</v>
      </c>
      <c r="V367" t="str">
        <f>IF(L367&gt;0,L367&amp;" runs",IF(M367&gt;0,M367&amp;" wickets","-"))</f>
        <v>7 wickets</v>
      </c>
      <c r="W367">
        <f>IF(G367=K367,1,0)</f>
        <v>0</v>
      </c>
      <c r="X367">
        <f>IF(L367&gt;0,L367,"")</f>
        <v/>
      </c>
      <c r="Y367">
        <f>IF(X367="","",IF(X367&gt;Stats!$B$15,"Outlier",""))</f>
        <v/>
      </c>
      <c r="Z367" t="str">
        <f>P367&amp;" vs "&amp;Q367</f>
        <v>Kolkata Knight Riders vs Delhi Capitals</v>
      </c>
    </row>
    <row r="368" spans="1:26" x14ac:dyDescent="0.25">
      <c r="A368">
        <v>425</v>
      </c>
      <c r="B368">
        <v>2013</v>
      </c>
      <c r="C368" s="5">
        <v>41396</v>
      </c>
      <c r="D368" t="s">
        <v>172</v>
      </c>
      <c r="E368" t="s">
        <v>12</v>
      </c>
      <c r="F368" t="s">
        <v>26</v>
      </c>
      <c r="G368" t="s">
        <v>12</v>
      </c>
      <c r="H368" t="s">
        <v>176</v>
      </c>
      <c r="I368" t="s">
        <v>174</v>
      </c>
      <c r="J368">
        <v>0</v>
      </c>
      <c r="K368" t="s">
        <v>12</v>
      </c>
      <c r="L368">
        <v>15</v>
      </c>
      <c r="M368">
        <v>0</v>
      </c>
      <c r="N368" t="s">
        <v>214</v>
      </c>
      <c r="O368" t="s">
        <v>94</v>
      </c>
      <c r="P368" t="str">
        <f>INDEX(Teams!$B:$B,MATCH(E368,Teams!$A:$A,0))</f>
        <v>Chennai Super Kings</v>
      </c>
      <c r="Q368" t="str">
        <f>INDEX(Teams!$B:$B,MATCH(F368,Teams!$A:$A,0))</f>
        <v>Kings XI Punjab</v>
      </c>
      <c r="R368" t="str">
        <f>INDEX(Teams!$B:$B,MATCH(G368,Teams!$A:$A,0))</f>
        <v>Chennai Super Kings</v>
      </c>
      <c r="S368" t="str">
        <f>IF(K368="","No result",INDEX(Teams!$B:$B,MATCH(K368,Teams!$A:$A,0)))</f>
        <v>Chennai Super Kings</v>
      </c>
      <c r="T368" t="str">
        <f>INDEX(Venues!$B:$B,MATCH(O368,Venues!$A:$A,0))</f>
        <v>MA Chidambaram Stadium</v>
      </c>
      <c r="U368" t="str">
        <f>INDEX(Venues!$C:$C,MATCH(O368,Venues!$A:$A,0))</f>
        <v>Chennai</v>
      </c>
      <c r="V368" t="str">
        <f>IF(L368&gt;0,L368&amp;" runs",IF(M368&gt;0,M368&amp;" wickets","-"))</f>
        <v>15 runs</v>
      </c>
      <c r="W368">
        <f>IF(G368=K368,1,0)</f>
        <v>1</v>
      </c>
      <c r="X368">
        <f>IF(L368&gt;0,L368,"")</f>
        <v>15</v>
      </c>
      <c r="Y368">
        <f>IF(X368="","",IF(X368&gt;Stats!$B$15,"Outlier",""))</f>
        <v/>
      </c>
      <c r="Z368" t="str">
        <f>P368&amp;" vs "&amp;Q368</f>
        <v>Chennai Super Kings vs Kings XI Punjab</v>
      </c>
    </row>
    <row r="369" spans="1:26" x14ac:dyDescent="0.25">
      <c r="A369">
        <v>426</v>
      </c>
      <c r="B369">
        <v>2013</v>
      </c>
      <c r="C369" s="5">
        <v>41396</v>
      </c>
      <c r="D369" t="s">
        <v>172</v>
      </c>
      <c r="E369" t="s">
        <v>46</v>
      </c>
      <c r="F369" t="s">
        <v>38</v>
      </c>
      <c r="G369" t="s">
        <v>46</v>
      </c>
      <c r="H369" t="s">
        <v>176</v>
      </c>
      <c r="I369" t="s">
        <v>174</v>
      </c>
      <c r="J369">
        <v>0</v>
      </c>
      <c r="K369" t="s">
        <v>46</v>
      </c>
      <c r="L369">
        <v>17</v>
      </c>
      <c r="M369">
        <v>0</v>
      </c>
      <c r="N369" t="s">
        <v>223</v>
      </c>
      <c r="O369" t="s">
        <v>96</v>
      </c>
      <c r="P369" t="str">
        <f>INDEX(Teams!$B:$B,MATCH(E369,Teams!$A:$A,0))</f>
        <v>Royal Challengers Bangalore</v>
      </c>
      <c r="Q369" t="str">
        <f>INDEX(Teams!$B:$B,MATCH(F369,Teams!$A:$A,0))</f>
        <v>Pune Warriors</v>
      </c>
      <c r="R369" t="str">
        <f>INDEX(Teams!$B:$B,MATCH(G369,Teams!$A:$A,0))</f>
        <v>Royal Challengers Bangalore</v>
      </c>
      <c r="S369" t="str">
        <f>IF(K369="","No result",INDEX(Teams!$B:$B,MATCH(K369,Teams!$A:$A,0)))</f>
        <v>Royal Challengers Bangalore</v>
      </c>
      <c r="T369" t="str">
        <f>INDEX(Venues!$B:$B,MATCH(O369,Venues!$A:$A,0))</f>
        <v>Maharashtra Cricket Association Stadium</v>
      </c>
      <c r="U369" t="str">
        <f>INDEX(Venues!$C:$C,MATCH(O369,Venues!$A:$A,0))</f>
        <v>Pune</v>
      </c>
      <c r="V369" t="str">
        <f>IF(L369&gt;0,L369&amp;" runs",IF(M369&gt;0,M369&amp;" wickets","-"))</f>
        <v>17 runs</v>
      </c>
      <c r="W369">
        <f>IF(G369=K369,1,0)</f>
        <v>1</v>
      </c>
      <c r="X369">
        <f>IF(L369&gt;0,L369,"")</f>
        <v>17</v>
      </c>
      <c r="Y369">
        <f>IF(X369="","",IF(X369&gt;Stats!$B$15,"Outlier",""))</f>
        <v/>
      </c>
      <c r="Z369" t="str">
        <f>P369&amp;" vs "&amp;Q369</f>
        <v>Royal Challengers Bangalore vs Pune Warriors</v>
      </c>
    </row>
    <row r="370" spans="1:26" x14ac:dyDescent="0.25">
      <c r="A370">
        <v>427</v>
      </c>
      <c r="B370">
        <v>2013</v>
      </c>
      <c r="C370" s="5">
        <v>41397</v>
      </c>
      <c r="D370" t="s">
        <v>172</v>
      </c>
      <c r="E370" t="s">
        <v>41</v>
      </c>
      <c r="F370" t="s">
        <v>32</v>
      </c>
      <c r="G370" t="s">
        <v>41</v>
      </c>
      <c r="H370" t="s">
        <v>176</v>
      </c>
      <c r="I370" t="s">
        <v>174</v>
      </c>
      <c r="J370">
        <v>0</v>
      </c>
      <c r="K370" t="s">
        <v>32</v>
      </c>
      <c r="L370">
        <v>0</v>
      </c>
      <c r="M370">
        <v>8</v>
      </c>
      <c r="N370" t="s">
        <v>184</v>
      </c>
      <c r="O370" t="s">
        <v>73</v>
      </c>
      <c r="P370" t="str">
        <f>INDEX(Teams!$B:$B,MATCH(E370,Teams!$A:$A,0))</f>
        <v>Rajasthan Royals</v>
      </c>
      <c r="Q370" t="str">
        <f>INDEX(Teams!$B:$B,MATCH(F370,Teams!$A:$A,0))</f>
        <v>Kolkata Knight Riders</v>
      </c>
      <c r="R370" t="str">
        <f>INDEX(Teams!$B:$B,MATCH(G370,Teams!$A:$A,0))</f>
        <v>Rajasthan Royals</v>
      </c>
      <c r="S370" t="str">
        <f>IF(K370="","No result",INDEX(Teams!$B:$B,MATCH(K370,Teams!$A:$A,0)))</f>
        <v>Kolkata Knight Riders</v>
      </c>
      <c r="T370" t="str">
        <f>INDEX(Venues!$B:$B,MATCH(O370,Venues!$A:$A,0))</f>
        <v>Eden Gardens</v>
      </c>
      <c r="U370" t="str">
        <f>INDEX(Venues!$C:$C,MATCH(O370,Venues!$A:$A,0))</f>
        <v>Kolkata</v>
      </c>
      <c r="V370" t="str">
        <f>IF(L370&gt;0,L370&amp;" runs",IF(M370&gt;0,M370&amp;" wickets","-"))</f>
        <v>8 wickets</v>
      </c>
      <c r="W370">
        <f>IF(G370=K370,1,0)</f>
        <v>0</v>
      </c>
      <c r="X370">
        <f>IF(L370&gt;0,L370,"")</f>
        <v/>
      </c>
      <c r="Y370">
        <f>IF(X370="","",IF(X370&gt;Stats!$B$15,"Outlier",""))</f>
        <v/>
      </c>
      <c r="Z370" t="str">
        <f>P370&amp;" vs "&amp;Q370</f>
        <v>Rajasthan Royals vs Kolkata Knight Riders</v>
      </c>
    </row>
    <row r="371" spans="1:26" x14ac:dyDescent="0.25">
      <c r="A371">
        <v>428</v>
      </c>
      <c r="B371">
        <v>2013</v>
      </c>
      <c r="C371" s="5">
        <v>41398</v>
      </c>
      <c r="D371" t="s">
        <v>172</v>
      </c>
      <c r="E371" t="s">
        <v>20</v>
      </c>
      <c r="F371" t="s">
        <v>49</v>
      </c>
      <c r="G371" t="s">
        <v>20</v>
      </c>
      <c r="H371" t="s">
        <v>176</v>
      </c>
      <c r="I371" t="s">
        <v>174</v>
      </c>
      <c r="J371">
        <v>0</v>
      </c>
      <c r="K371" t="s">
        <v>49</v>
      </c>
      <c r="L371">
        <v>0</v>
      </c>
      <c r="M371">
        <v>6</v>
      </c>
      <c r="N371" t="s">
        <v>324</v>
      </c>
      <c r="O371" t="s">
        <v>111</v>
      </c>
      <c r="P371" t="str">
        <f>INDEX(Teams!$B:$B,MATCH(E371,Teams!$A:$A,0))</f>
        <v>Delhi Capitals</v>
      </c>
      <c r="Q371" t="str">
        <f>INDEX(Teams!$B:$B,MATCH(F371,Teams!$A:$A,0))</f>
        <v>Sunrisers Hyderabad</v>
      </c>
      <c r="R371" t="str">
        <f>INDEX(Teams!$B:$B,MATCH(G371,Teams!$A:$A,0))</f>
        <v>Delhi Capitals</v>
      </c>
      <c r="S371" t="str">
        <f>IF(K371="","No result",INDEX(Teams!$B:$B,MATCH(K371,Teams!$A:$A,0)))</f>
        <v>Sunrisers Hyderabad</v>
      </c>
      <c r="T371" t="str">
        <f>INDEX(Venues!$B:$B,MATCH(O371,Venues!$A:$A,0))</f>
        <v>Rajiv Gandhi International Stadium</v>
      </c>
      <c r="U371" t="str">
        <f>INDEX(Venues!$C:$C,MATCH(O371,Venues!$A:$A,0))</f>
        <v>Hyderabad</v>
      </c>
      <c r="V371" t="str">
        <f>IF(L371&gt;0,L371&amp;" runs",IF(M371&gt;0,M371&amp;" wickets","-"))</f>
        <v>6 wickets</v>
      </c>
      <c r="W371">
        <f>IF(G371=K371,1,0)</f>
        <v>0</v>
      </c>
      <c r="X371">
        <f>IF(L371&gt;0,L371,"")</f>
        <v/>
      </c>
      <c r="Y371">
        <f>IF(X371="","",IF(X371&gt;Stats!$B$15,"Outlier",""))</f>
        <v/>
      </c>
      <c r="Z371" t="str">
        <f>P371&amp;" vs "&amp;Q371</f>
        <v>Delhi Capitals vs Sunrisers Hyderabad</v>
      </c>
    </row>
    <row r="372" spans="1:26" x14ac:dyDescent="0.25">
      <c r="A372">
        <v>430</v>
      </c>
      <c r="B372">
        <v>2013</v>
      </c>
      <c r="C372" s="5">
        <v>41399</v>
      </c>
      <c r="D372" t="s">
        <v>172</v>
      </c>
      <c r="E372" t="s">
        <v>35</v>
      </c>
      <c r="F372" t="s">
        <v>12</v>
      </c>
      <c r="G372" t="s">
        <v>35</v>
      </c>
      <c r="H372" t="s">
        <v>176</v>
      </c>
      <c r="I372" t="s">
        <v>174</v>
      </c>
      <c r="J372">
        <v>0</v>
      </c>
      <c r="K372" t="s">
        <v>35</v>
      </c>
      <c r="L372">
        <v>60</v>
      </c>
      <c r="M372">
        <v>0</v>
      </c>
      <c r="N372" t="s">
        <v>325</v>
      </c>
      <c r="O372" t="s">
        <v>138</v>
      </c>
      <c r="P372" t="str">
        <f>INDEX(Teams!$B:$B,MATCH(E372,Teams!$A:$A,0))</f>
        <v>Mumbai Indians</v>
      </c>
      <c r="Q372" t="str">
        <f>INDEX(Teams!$B:$B,MATCH(F372,Teams!$A:$A,0))</f>
        <v>Chennai Super Kings</v>
      </c>
      <c r="R372" t="str">
        <f>INDEX(Teams!$B:$B,MATCH(G372,Teams!$A:$A,0))</f>
        <v>Mumbai Indians</v>
      </c>
      <c r="S372" t="str">
        <f>IF(K372="","No result",INDEX(Teams!$B:$B,MATCH(K372,Teams!$A:$A,0)))</f>
        <v>Mumbai Indians</v>
      </c>
      <c r="T372" t="str">
        <f>INDEX(Venues!$B:$B,MATCH(O372,Venues!$A:$A,0))</f>
        <v>Wankhede Stadium</v>
      </c>
      <c r="U372" t="str">
        <f>INDEX(Venues!$C:$C,MATCH(O372,Venues!$A:$A,0))</f>
        <v>Mumbai</v>
      </c>
      <c r="V372" t="str">
        <f>IF(L372&gt;0,L372&amp;" runs",IF(M372&gt;0,M372&amp;" wickets","-"))</f>
        <v>60 runs</v>
      </c>
      <c r="W372">
        <f>IF(G372=K372,1,0)</f>
        <v>1</v>
      </c>
      <c r="X372">
        <f>IF(L372&gt;0,L372,"")</f>
        <v>60</v>
      </c>
      <c r="Y372">
        <f>IF(X372="","",IF(X372&gt;Stats!$B$15,"Outlier",""))</f>
        <v/>
      </c>
      <c r="Z372" t="str">
        <f>P372&amp;" vs "&amp;Q372</f>
        <v>Mumbai Indians vs Chennai Super Kings</v>
      </c>
    </row>
    <row r="373" spans="1:26" x14ac:dyDescent="0.25">
      <c r="A373">
        <v>431</v>
      </c>
      <c r="B373">
        <v>2013</v>
      </c>
      <c r="C373" s="5">
        <v>41399</v>
      </c>
      <c r="D373" t="s">
        <v>172</v>
      </c>
      <c r="E373" t="s">
        <v>38</v>
      </c>
      <c r="F373" t="s">
        <v>41</v>
      </c>
      <c r="G373" t="s">
        <v>38</v>
      </c>
      <c r="H373" t="s">
        <v>176</v>
      </c>
      <c r="I373" t="s">
        <v>174</v>
      </c>
      <c r="J373">
        <v>0</v>
      </c>
      <c r="K373" t="s">
        <v>41</v>
      </c>
      <c r="L373">
        <v>0</v>
      </c>
      <c r="M373">
        <v>5</v>
      </c>
      <c r="N373" t="s">
        <v>298</v>
      </c>
      <c r="O373" t="s">
        <v>118</v>
      </c>
      <c r="P373" t="str">
        <f>INDEX(Teams!$B:$B,MATCH(E373,Teams!$A:$A,0))</f>
        <v>Pune Warriors</v>
      </c>
      <c r="Q373" t="str">
        <f>INDEX(Teams!$B:$B,MATCH(F373,Teams!$A:$A,0))</f>
        <v>Rajasthan Royals</v>
      </c>
      <c r="R373" t="str">
        <f>INDEX(Teams!$B:$B,MATCH(G373,Teams!$A:$A,0))</f>
        <v>Pune Warriors</v>
      </c>
      <c r="S373" t="str">
        <f>IF(K373="","No result",INDEX(Teams!$B:$B,MATCH(K373,Teams!$A:$A,0)))</f>
        <v>Rajasthan Royals</v>
      </c>
      <c r="T373" t="str">
        <f>INDEX(Venues!$B:$B,MATCH(O373,Venues!$A:$A,0))</f>
        <v>Sawai Mansingh Stadium</v>
      </c>
      <c r="U373" t="str">
        <f>INDEX(Venues!$C:$C,MATCH(O373,Venues!$A:$A,0))</f>
        <v>Jaipur</v>
      </c>
      <c r="V373" t="str">
        <f>IF(L373&gt;0,L373&amp;" runs",IF(M373&gt;0,M373&amp;" wickets","-"))</f>
        <v>5 wickets</v>
      </c>
      <c r="W373">
        <f>IF(G373=K373,1,0)</f>
        <v>0</v>
      </c>
      <c r="X373">
        <f>IF(L373&gt;0,L373,"")</f>
        <v/>
      </c>
      <c r="Y373">
        <f>IF(X373="","",IF(X373&gt;Stats!$B$15,"Outlier",""))</f>
        <v/>
      </c>
      <c r="Z373" t="str">
        <f>P373&amp;" vs "&amp;Q373</f>
        <v>Pune Warriors vs Rajasthan Royals</v>
      </c>
    </row>
    <row r="374" spans="1:26" x14ac:dyDescent="0.25">
      <c r="A374">
        <v>448</v>
      </c>
      <c r="B374">
        <v>2013</v>
      </c>
      <c r="C374" s="5">
        <v>41400</v>
      </c>
      <c r="D374" t="s">
        <v>172</v>
      </c>
      <c r="E374" t="s">
        <v>46</v>
      </c>
      <c r="F374" t="s">
        <v>26</v>
      </c>
      <c r="G374" t="s">
        <v>26</v>
      </c>
      <c r="H374" t="s">
        <v>173</v>
      </c>
      <c r="I374" t="s">
        <v>174</v>
      </c>
      <c r="J374">
        <v>0</v>
      </c>
      <c r="K374" t="s">
        <v>26</v>
      </c>
      <c r="L374">
        <v>0</v>
      </c>
      <c r="M374">
        <v>6</v>
      </c>
      <c r="N374" t="s">
        <v>322</v>
      </c>
      <c r="O374" t="s">
        <v>109</v>
      </c>
      <c r="P374" t="str">
        <f>INDEX(Teams!$B:$B,MATCH(E374,Teams!$A:$A,0))</f>
        <v>Royal Challengers Bangalore</v>
      </c>
      <c r="Q374" t="str">
        <f>INDEX(Teams!$B:$B,MATCH(F374,Teams!$A:$A,0))</f>
        <v>Kings XI Punjab</v>
      </c>
      <c r="R374" t="str">
        <f>INDEX(Teams!$B:$B,MATCH(G374,Teams!$A:$A,0))</f>
        <v>Kings XI Punjab</v>
      </c>
      <c r="S374" t="str">
        <f>IF(K374="","No result",INDEX(Teams!$B:$B,MATCH(K374,Teams!$A:$A,0)))</f>
        <v>Kings XI Punjab</v>
      </c>
      <c r="T374" t="str">
        <f>INDEX(Venues!$B:$B,MATCH(O374,Venues!$A:$A,0))</f>
        <v>Punjab Cricket Association IS Bindra Stadium</v>
      </c>
      <c r="U374" t="str">
        <f>INDEX(Venues!$C:$C,MATCH(O374,Venues!$A:$A,0))</f>
        <v>Chandigarh</v>
      </c>
      <c r="V374" t="str">
        <f>IF(L374&gt;0,L374&amp;" runs",IF(M374&gt;0,M374&amp;" wickets","-"))</f>
        <v>6 wickets</v>
      </c>
      <c r="W374">
        <f>IF(G374=K374,1,0)</f>
        <v>1</v>
      </c>
      <c r="X374">
        <f>IF(L374&gt;0,L374,"")</f>
        <v/>
      </c>
      <c r="Y374">
        <f>IF(X374="","",IF(X374&gt;Stats!$B$15,"Outlier",""))</f>
        <v/>
      </c>
      <c r="Z374" t="str">
        <f>P374&amp;" vs "&amp;Q374</f>
        <v>Royal Challengers Bangalore vs Kings XI Punjab</v>
      </c>
    </row>
    <row r="375" spans="1:26" x14ac:dyDescent="0.25">
      <c r="A375">
        <v>433</v>
      </c>
      <c r="B375">
        <v>2013</v>
      </c>
      <c r="C375" s="5">
        <v>41401</v>
      </c>
      <c r="D375" t="s">
        <v>172</v>
      </c>
      <c r="E375" t="s">
        <v>20</v>
      </c>
      <c r="F375" t="s">
        <v>41</v>
      </c>
      <c r="G375" t="s">
        <v>20</v>
      </c>
      <c r="H375" t="s">
        <v>176</v>
      </c>
      <c r="I375" t="s">
        <v>174</v>
      </c>
      <c r="J375">
        <v>0</v>
      </c>
      <c r="K375" t="s">
        <v>41</v>
      </c>
      <c r="L375">
        <v>0</v>
      </c>
      <c r="M375">
        <v>9</v>
      </c>
      <c r="N375" t="s">
        <v>298</v>
      </c>
      <c r="O375" t="s">
        <v>118</v>
      </c>
      <c r="P375" t="str">
        <f>INDEX(Teams!$B:$B,MATCH(E375,Teams!$A:$A,0))</f>
        <v>Delhi Capitals</v>
      </c>
      <c r="Q375" t="str">
        <f>INDEX(Teams!$B:$B,MATCH(F375,Teams!$A:$A,0))</f>
        <v>Rajasthan Royals</v>
      </c>
      <c r="R375" t="str">
        <f>INDEX(Teams!$B:$B,MATCH(G375,Teams!$A:$A,0))</f>
        <v>Delhi Capitals</v>
      </c>
      <c r="S375" t="str">
        <f>IF(K375="","No result",INDEX(Teams!$B:$B,MATCH(K375,Teams!$A:$A,0)))</f>
        <v>Rajasthan Royals</v>
      </c>
      <c r="T375" t="str">
        <f>INDEX(Venues!$B:$B,MATCH(O375,Venues!$A:$A,0))</f>
        <v>Sawai Mansingh Stadium</v>
      </c>
      <c r="U375" t="str">
        <f>INDEX(Venues!$C:$C,MATCH(O375,Venues!$A:$A,0))</f>
        <v>Jaipur</v>
      </c>
      <c r="V375" t="str">
        <f>IF(L375&gt;0,L375&amp;" runs",IF(M375&gt;0,M375&amp;" wickets","-"))</f>
        <v>9 wickets</v>
      </c>
      <c r="W375">
        <f>IF(G375=K375,1,0)</f>
        <v>0</v>
      </c>
      <c r="X375">
        <f>IF(L375&gt;0,L375,"")</f>
        <v/>
      </c>
      <c r="Y375">
        <f>IF(X375="","",IF(X375&gt;Stats!$B$15,"Outlier",""))</f>
        <v/>
      </c>
      <c r="Z375" t="str">
        <f>P375&amp;" vs "&amp;Q375</f>
        <v>Delhi Capitals vs Rajasthan Royals</v>
      </c>
    </row>
    <row r="376" spans="1:26" x14ac:dyDescent="0.25">
      <c r="A376">
        <v>434</v>
      </c>
      <c r="B376">
        <v>2013</v>
      </c>
      <c r="C376" s="5">
        <v>41401</v>
      </c>
      <c r="D376" t="s">
        <v>172</v>
      </c>
      <c r="E376" t="s">
        <v>35</v>
      </c>
      <c r="F376" t="s">
        <v>32</v>
      </c>
      <c r="G376" t="s">
        <v>35</v>
      </c>
      <c r="H376" t="s">
        <v>176</v>
      </c>
      <c r="I376" t="s">
        <v>174</v>
      </c>
      <c r="J376">
        <v>0</v>
      </c>
      <c r="K376" t="s">
        <v>35</v>
      </c>
      <c r="L376">
        <v>65</v>
      </c>
      <c r="M376">
        <v>0</v>
      </c>
      <c r="N376" t="s">
        <v>217</v>
      </c>
      <c r="O376" t="s">
        <v>138</v>
      </c>
      <c r="P376" t="str">
        <f>INDEX(Teams!$B:$B,MATCH(E376,Teams!$A:$A,0))</f>
        <v>Mumbai Indians</v>
      </c>
      <c r="Q376" t="str">
        <f>INDEX(Teams!$B:$B,MATCH(F376,Teams!$A:$A,0))</f>
        <v>Kolkata Knight Riders</v>
      </c>
      <c r="R376" t="str">
        <f>INDEX(Teams!$B:$B,MATCH(G376,Teams!$A:$A,0))</f>
        <v>Mumbai Indians</v>
      </c>
      <c r="S376" t="str">
        <f>IF(K376="","No result",INDEX(Teams!$B:$B,MATCH(K376,Teams!$A:$A,0)))</f>
        <v>Mumbai Indians</v>
      </c>
      <c r="T376" t="str">
        <f>INDEX(Venues!$B:$B,MATCH(O376,Venues!$A:$A,0))</f>
        <v>Wankhede Stadium</v>
      </c>
      <c r="U376" t="str">
        <f>INDEX(Venues!$C:$C,MATCH(O376,Venues!$A:$A,0))</f>
        <v>Mumbai</v>
      </c>
      <c r="V376" t="str">
        <f>IF(L376&gt;0,L376&amp;" runs",IF(M376&gt;0,M376&amp;" wickets","-"))</f>
        <v>65 runs</v>
      </c>
      <c r="W376">
        <f>IF(G376=K376,1,0)</f>
        <v>1</v>
      </c>
      <c r="X376">
        <f>IF(L376&gt;0,L376,"")</f>
        <v>65</v>
      </c>
      <c r="Y376">
        <f>IF(X376="","",IF(X376&gt;Stats!$B$15,"Outlier",""))</f>
        <v/>
      </c>
      <c r="Z376" t="str">
        <f>P376&amp;" vs "&amp;Q376</f>
        <v>Mumbai Indians vs Kolkata Knight Riders</v>
      </c>
    </row>
    <row r="377" spans="1:26" x14ac:dyDescent="0.25">
      <c r="A377">
        <v>435</v>
      </c>
      <c r="B377">
        <v>2013</v>
      </c>
      <c r="C377" s="5">
        <v>41402</v>
      </c>
      <c r="D377" t="s">
        <v>172</v>
      </c>
      <c r="E377" t="s">
        <v>12</v>
      </c>
      <c r="F377" t="s">
        <v>49</v>
      </c>
      <c r="G377" t="s">
        <v>49</v>
      </c>
      <c r="H377" t="s">
        <v>173</v>
      </c>
      <c r="I377" t="s">
        <v>174</v>
      </c>
      <c r="J377">
        <v>0</v>
      </c>
      <c r="K377" t="s">
        <v>12</v>
      </c>
      <c r="L377">
        <v>77</v>
      </c>
      <c r="M377">
        <v>0</v>
      </c>
      <c r="N377" t="s">
        <v>214</v>
      </c>
      <c r="O377" t="s">
        <v>111</v>
      </c>
      <c r="P377" t="str">
        <f>INDEX(Teams!$B:$B,MATCH(E377,Teams!$A:$A,0))</f>
        <v>Chennai Super Kings</v>
      </c>
      <c r="Q377" t="str">
        <f>INDEX(Teams!$B:$B,MATCH(F377,Teams!$A:$A,0))</f>
        <v>Sunrisers Hyderabad</v>
      </c>
      <c r="R377" t="str">
        <f>INDEX(Teams!$B:$B,MATCH(G377,Teams!$A:$A,0))</f>
        <v>Sunrisers Hyderabad</v>
      </c>
      <c r="S377" t="str">
        <f>IF(K377="","No result",INDEX(Teams!$B:$B,MATCH(K377,Teams!$A:$A,0)))</f>
        <v>Chennai Super Kings</v>
      </c>
      <c r="T377" t="str">
        <f>INDEX(Venues!$B:$B,MATCH(O377,Venues!$A:$A,0))</f>
        <v>Rajiv Gandhi International Stadium</v>
      </c>
      <c r="U377" t="str">
        <f>INDEX(Venues!$C:$C,MATCH(O377,Venues!$A:$A,0))</f>
        <v>Hyderabad</v>
      </c>
      <c r="V377" t="str">
        <f>IF(L377&gt;0,L377&amp;" runs",IF(M377&gt;0,M377&amp;" wickets","-"))</f>
        <v>77 runs</v>
      </c>
      <c r="W377">
        <f>IF(G377=K377,1,0)</f>
        <v>0</v>
      </c>
      <c r="X377">
        <f>IF(L377&gt;0,L377,"")</f>
        <v>77</v>
      </c>
      <c r="Y377">
        <f>IF(X377="","",IF(X377&gt;Stats!$B$15,"Outlier",""))</f>
        <v/>
      </c>
      <c r="Z377" t="str">
        <f>P377&amp;" vs "&amp;Q377</f>
        <v>Chennai Super Kings vs Sunrisers Hyderabad</v>
      </c>
    </row>
    <row r="378" spans="1:26" x14ac:dyDescent="0.25">
      <c r="A378">
        <v>436</v>
      </c>
      <c r="B378">
        <v>2013</v>
      </c>
      <c r="C378" s="5">
        <v>41403</v>
      </c>
      <c r="D378" t="s">
        <v>172</v>
      </c>
      <c r="E378" t="s">
        <v>26</v>
      </c>
      <c r="F378" t="s">
        <v>41</v>
      </c>
      <c r="G378" t="s">
        <v>41</v>
      </c>
      <c r="H378" t="s">
        <v>173</v>
      </c>
      <c r="I378" t="s">
        <v>174</v>
      </c>
      <c r="J378">
        <v>0</v>
      </c>
      <c r="K378" t="s">
        <v>41</v>
      </c>
      <c r="L378">
        <v>0</v>
      </c>
      <c r="M378">
        <v>8</v>
      </c>
      <c r="N378" t="s">
        <v>326</v>
      </c>
      <c r="O378" t="s">
        <v>109</v>
      </c>
      <c r="P378" t="str">
        <f>INDEX(Teams!$B:$B,MATCH(E378,Teams!$A:$A,0))</f>
        <v>Kings XI Punjab</v>
      </c>
      <c r="Q378" t="str">
        <f>INDEX(Teams!$B:$B,MATCH(F378,Teams!$A:$A,0))</f>
        <v>Rajasthan Royals</v>
      </c>
      <c r="R378" t="str">
        <f>INDEX(Teams!$B:$B,MATCH(G378,Teams!$A:$A,0))</f>
        <v>Rajasthan Royals</v>
      </c>
      <c r="S378" t="str">
        <f>IF(K378="","No result",INDEX(Teams!$B:$B,MATCH(K378,Teams!$A:$A,0)))</f>
        <v>Rajasthan Royals</v>
      </c>
      <c r="T378" t="str">
        <f>INDEX(Venues!$B:$B,MATCH(O378,Venues!$A:$A,0))</f>
        <v>Punjab Cricket Association IS Bindra Stadium</v>
      </c>
      <c r="U378" t="str">
        <f>INDEX(Venues!$C:$C,MATCH(O378,Venues!$A:$A,0))</f>
        <v>Chandigarh</v>
      </c>
      <c r="V378" t="str">
        <f>IF(L378&gt;0,L378&amp;" runs",IF(M378&gt;0,M378&amp;" wickets","-"))</f>
        <v>8 wickets</v>
      </c>
      <c r="W378">
        <f>IF(G378=K378,1,0)</f>
        <v>1</v>
      </c>
      <c r="X378">
        <f>IF(L378&gt;0,L378,"")</f>
        <v/>
      </c>
      <c r="Y378">
        <f>IF(X378="","",IF(X378&gt;Stats!$B$15,"Outlier",""))</f>
        <v/>
      </c>
      <c r="Z378" t="str">
        <f>P378&amp;" vs "&amp;Q378</f>
        <v>Kings XI Punjab vs Rajasthan Royals</v>
      </c>
    </row>
    <row r="379" spans="1:26" x14ac:dyDescent="0.25">
      <c r="A379">
        <v>437</v>
      </c>
      <c r="B379">
        <v>2013</v>
      </c>
      <c r="C379" s="5">
        <v>41403</v>
      </c>
      <c r="D379" t="s">
        <v>172</v>
      </c>
      <c r="E379" t="s">
        <v>32</v>
      </c>
      <c r="F379" t="s">
        <v>38</v>
      </c>
      <c r="G379" t="s">
        <v>32</v>
      </c>
      <c r="H379" t="s">
        <v>176</v>
      </c>
      <c r="I379" t="s">
        <v>174</v>
      </c>
      <c r="J379">
        <v>0</v>
      </c>
      <c r="K379" t="s">
        <v>32</v>
      </c>
      <c r="L379">
        <v>46</v>
      </c>
      <c r="M379">
        <v>0</v>
      </c>
      <c r="N379" t="s">
        <v>234</v>
      </c>
      <c r="O379" t="s">
        <v>96</v>
      </c>
      <c r="P379" t="str">
        <f>INDEX(Teams!$B:$B,MATCH(E379,Teams!$A:$A,0))</f>
        <v>Kolkata Knight Riders</v>
      </c>
      <c r="Q379" t="str">
        <f>INDEX(Teams!$B:$B,MATCH(F379,Teams!$A:$A,0))</f>
        <v>Pune Warriors</v>
      </c>
      <c r="R379" t="str">
        <f>INDEX(Teams!$B:$B,MATCH(G379,Teams!$A:$A,0))</f>
        <v>Kolkata Knight Riders</v>
      </c>
      <c r="S379" t="str">
        <f>IF(K379="","No result",INDEX(Teams!$B:$B,MATCH(K379,Teams!$A:$A,0)))</f>
        <v>Kolkata Knight Riders</v>
      </c>
      <c r="T379" t="str">
        <f>INDEX(Venues!$B:$B,MATCH(O379,Venues!$A:$A,0))</f>
        <v>Maharashtra Cricket Association Stadium</v>
      </c>
      <c r="U379" t="str">
        <f>INDEX(Venues!$C:$C,MATCH(O379,Venues!$A:$A,0))</f>
        <v>Pune</v>
      </c>
      <c r="V379" t="str">
        <f>IF(L379&gt;0,L379&amp;" runs",IF(M379&gt;0,M379&amp;" wickets","-"))</f>
        <v>46 runs</v>
      </c>
      <c r="W379">
        <f>IF(G379=K379,1,0)</f>
        <v>1</v>
      </c>
      <c r="X379">
        <f>IF(L379&gt;0,L379,"")</f>
        <v>46</v>
      </c>
      <c r="Y379">
        <f>IF(X379="","",IF(X379&gt;Stats!$B$15,"Outlier",""))</f>
        <v/>
      </c>
      <c r="Z379" t="str">
        <f>P379&amp;" vs "&amp;Q379</f>
        <v>Kolkata Knight Riders vs Pune Warriors</v>
      </c>
    </row>
    <row r="380" spans="1:26" x14ac:dyDescent="0.25">
      <c r="A380">
        <v>438</v>
      </c>
      <c r="B380">
        <v>2013</v>
      </c>
      <c r="C380" s="5">
        <v>41404</v>
      </c>
      <c r="D380" t="s">
        <v>172</v>
      </c>
      <c r="E380" t="s">
        <v>46</v>
      </c>
      <c r="F380" t="s">
        <v>20</v>
      </c>
      <c r="G380" t="s">
        <v>20</v>
      </c>
      <c r="H380" t="s">
        <v>173</v>
      </c>
      <c r="I380" t="s">
        <v>174</v>
      </c>
      <c r="J380">
        <v>0</v>
      </c>
      <c r="K380" t="s">
        <v>46</v>
      </c>
      <c r="L380">
        <v>4</v>
      </c>
      <c r="M380">
        <v>0</v>
      </c>
      <c r="N380" t="s">
        <v>271</v>
      </c>
      <c r="O380" t="s">
        <v>75</v>
      </c>
      <c r="P380" t="str">
        <f>INDEX(Teams!$B:$B,MATCH(E380,Teams!$A:$A,0))</f>
        <v>Royal Challengers Bangalore</v>
      </c>
      <c r="Q380" t="str">
        <f>INDEX(Teams!$B:$B,MATCH(F380,Teams!$A:$A,0))</f>
        <v>Delhi Capitals</v>
      </c>
      <c r="R380" t="str">
        <f>INDEX(Teams!$B:$B,MATCH(G380,Teams!$A:$A,0))</f>
        <v>Delhi Capitals</v>
      </c>
      <c r="S380" t="str">
        <f>IF(K380="","No result",INDEX(Teams!$B:$B,MATCH(K380,Teams!$A:$A,0)))</f>
        <v>Royal Challengers Bangalore</v>
      </c>
      <c r="T380" t="str">
        <f>INDEX(Venues!$B:$B,MATCH(O380,Venues!$A:$A,0))</f>
        <v>Feroz Shah Kotla</v>
      </c>
      <c r="U380" t="str">
        <f>INDEX(Venues!$C:$C,MATCH(O380,Venues!$A:$A,0))</f>
        <v>Delhi</v>
      </c>
      <c r="V380" t="str">
        <f>IF(L380&gt;0,L380&amp;" runs",IF(M380&gt;0,M380&amp;" wickets","-"))</f>
        <v>4 runs</v>
      </c>
      <c r="W380">
        <f>IF(G380=K380,1,0)</f>
        <v>0</v>
      </c>
      <c r="X380">
        <f>IF(L380&gt;0,L380,"")</f>
        <v>4</v>
      </c>
      <c r="Y380">
        <f>IF(X380="","",IF(X380&gt;Stats!$B$15,"Outlier",""))</f>
        <v/>
      </c>
      <c r="Z380" t="str">
        <f>P380&amp;" vs "&amp;Q380</f>
        <v>Royal Challengers Bangalore vs Delhi Capitals</v>
      </c>
    </row>
    <row r="381" spans="1:26" x14ac:dyDescent="0.25">
      <c r="A381">
        <v>439</v>
      </c>
      <c r="B381">
        <v>2013</v>
      </c>
      <c r="C381" s="5">
        <v>41405</v>
      </c>
      <c r="D381" t="s">
        <v>172</v>
      </c>
      <c r="E381" t="s">
        <v>38</v>
      </c>
      <c r="F381" t="s">
        <v>35</v>
      </c>
      <c r="G381" t="s">
        <v>38</v>
      </c>
      <c r="H381" t="s">
        <v>176</v>
      </c>
      <c r="I381" t="s">
        <v>174</v>
      </c>
      <c r="J381">
        <v>0</v>
      </c>
      <c r="K381" t="s">
        <v>35</v>
      </c>
      <c r="L381">
        <v>0</v>
      </c>
      <c r="M381">
        <v>5</v>
      </c>
      <c r="N381" t="s">
        <v>325</v>
      </c>
      <c r="O381" t="s">
        <v>96</v>
      </c>
      <c r="P381" t="str">
        <f>INDEX(Teams!$B:$B,MATCH(E381,Teams!$A:$A,0))</f>
        <v>Pune Warriors</v>
      </c>
      <c r="Q381" t="str">
        <f>INDEX(Teams!$B:$B,MATCH(F381,Teams!$A:$A,0))</f>
        <v>Mumbai Indians</v>
      </c>
      <c r="R381" t="str">
        <f>INDEX(Teams!$B:$B,MATCH(G381,Teams!$A:$A,0))</f>
        <v>Pune Warriors</v>
      </c>
      <c r="S381" t="str">
        <f>IF(K381="","No result",INDEX(Teams!$B:$B,MATCH(K381,Teams!$A:$A,0)))</f>
        <v>Mumbai Indians</v>
      </c>
      <c r="T381" t="str">
        <f>INDEX(Venues!$B:$B,MATCH(O381,Venues!$A:$A,0))</f>
        <v>Maharashtra Cricket Association Stadium</v>
      </c>
      <c r="U381" t="str">
        <f>INDEX(Venues!$C:$C,MATCH(O381,Venues!$A:$A,0))</f>
        <v>Pune</v>
      </c>
      <c r="V381" t="str">
        <f>IF(L381&gt;0,L381&amp;" runs",IF(M381&gt;0,M381&amp;" wickets","-"))</f>
        <v>5 wickets</v>
      </c>
      <c r="W381">
        <f>IF(G381=K381,1,0)</f>
        <v>0</v>
      </c>
      <c r="X381">
        <f>IF(L381&gt;0,L381,"")</f>
        <v/>
      </c>
      <c r="Y381">
        <f>IF(X381="","",IF(X381&gt;Stats!$B$15,"Outlier",""))</f>
        <v/>
      </c>
      <c r="Z381" t="str">
        <f>P381&amp;" vs "&amp;Q381</f>
        <v>Pune Warriors vs Mumbai Indians</v>
      </c>
    </row>
    <row r="382" spans="1:26" x14ac:dyDescent="0.25">
      <c r="A382">
        <v>440</v>
      </c>
      <c r="B382">
        <v>2013</v>
      </c>
      <c r="C382" s="5">
        <v>41405</v>
      </c>
      <c r="D382" t="s">
        <v>172</v>
      </c>
      <c r="E382" t="s">
        <v>49</v>
      </c>
      <c r="F382" t="s">
        <v>26</v>
      </c>
      <c r="G382" t="s">
        <v>26</v>
      </c>
      <c r="H382" t="s">
        <v>173</v>
      </c>
      <c r="I382" t="s">
        <v>174</v>
      </c>
      <c r="J382">
        <v>0</v>
      </c>
      <c r="K382" t="s">
        <v>49</v>
      </c>
      <c r="L382">
        <v>30</v>
      </c>
      <c r="M382">
        <v>0</v>
      </c>
      <c r="N382" t="s">
        <v>327</v>
      </c>
      <c r="O382" t="s">
        <v>109</v>
      </c>
      <c r="P382" t="str">
        <f>INDEX(Teams!$B:$B,MATCH(E382,Teams!$A:$A,0))</f>
        <v>Sunrisers Hyderabad</v>
      </c>
      <c r="Q382" t="str">
        <f>INDEX(Teams!$B:$B,MATCH(F382,Teams!$A:$A,0))</f>
        <v>Kings XI Punjab</v>
      </c>
      <c r="R382" t="str">
        <f>INDEX(Teams!$B:$B,MATCH(G382,Teams!$A:$A,0))</f>
        <v>Kings XI Punjab</v>
      </c>
      <c r="S382" t="str">
        <f>IF(K382="","No result",INDEX(Teams!$B:$B,MATCH(K382,Teams!$A:$A,0)))</f>
        <v>Sunrisers Hyderabad</v>
      </c>
      <c r="T382" t="str">
        <f>INDEX(Venues!$B:$B,MATCH(O382,Venues!$A:$A,0))</f>
        <v>Punjab Cricket Association IS Bindra Stadium</v>
      </c>
      <c r="U382" t="str">
        <f>INDEX(Venues!$C:$C,MATCH(O382,Venues!$A:$A,0))</f>
        <v>Chandigarh</v>
      </c>
      <c r="V382" t="str">
        <f>IF(L382&gt;0,L382&amp;" runs",IF(M382&gt;0,M382&amp;" wickets","-"))</f>
        <v>30 runs</v>
      </c>
      <c r="W382">
        <f>IF(G382=K382,1,0)</f>
        <v>0</v>
      </c>
      <c r="X382">
        <f>IF(L382&gt;0,L382,"")</f>
        <v>30</v>
      </c>
      <c r="Y382">
        <f>IF(X382="","",IF(X382&gt;Stats!$B$15,"Outlier",""))</f>
        <v/>
      </c>
      <c r="Z382" t="str">
        <f>P382&amp;" vs "&amp;Q382</f>
        <v>Sunrisers Hyderabad vs Kings XI Punjab</v>
      </c>
    </row>
    <row r="383" spans="1:26" x14ac:dyDescent="0.25">
      <c r="A383">
        <v>441</v>
      </c>
      <c r="B383">
        <v>2013</v>
      </c>
      <c r="C383" s="5">
        <v>41406</v>
      </c>
      <c r="D383" t="s">
        <v>172</v>
      </c>
      <c r="E383" t="s">
        <v>46</v>
      </c>
      <c r="F383" t="s">
        <v>32</v>
      </c>
      <c r="G383" t="s">
        <v>32</v>
      </c>
      <c r="H383" t="s">
        <v>173</v>
      </c>
      <c r="I383" t="s">
        <v>174</v>
      </c>
      <c r="J383">
        <v>0</v>
      </c>
      <c r="K383" t="s">
        <v>32</v>
      </c>
      <c r="L383">
        <v>0</v>
      </c>
      <c r="M383">
        <v>5</v>
      </c>
      <c r="N383" t="s">
        <v>233</v>
      </c>
      <c r="O383" t="s">
        <v>86</v>
      </c>
      <c r="P383" t="str">
        <f>INDEX(Teams!$B:$B,MATCH(E383,Teams!$A:$A,0))</f>
        <v>Royal Challengers Bangalore</v>
      </c>
      <c r="Q383" t="str">
        <f>INDEX(Teams!$B:$B,MATCH(F383,Teams!$A:$A,0))</f>
        <v>Kolkata Knight Riders</v>
      </c>
      <c r="R383" t="str">
        <f>INDEX(Teams!$B:$B,MATCH(G383,Teams!$A:$A,0))</f>
        <v>Kolkata Knight Riders</v>
      </c>
      <c r="S383" t="str">
        <f>IF(K383="","No result",INDEX(Teams!$B:$B,MATCH(K383,Teams!$A:$A,0)))</f>
        <v>Kolkata Knight Riders</v>
      </c>
      <c r="T383" t="str">
        <f>INDEX(Venues!$B:$B,MATCH(O383,Venues!$A:$A,0))</f>
        <v>JSCA International Stadium Complex</v>
      </c>
      <c r="U383" t="str">
        <f>INDEX(Venues!$C:$C,MATCH(O383,Venues!$A:$A,0))</f>
        <v>Ranchi</v>
      </c>
      <c r="V383" t="str">
        <f>IF(L383&gt;0,L383&amp;" runs",IF(M383&gt;0,M383&amp;" wickets","-"))</f>
        <v>5 wickets</v>
      </c>
      <c r="W383">
        <f>IF(G383=K383,1,0)</f>
        <v>1</v>
      </c>
      <c r="X383">
        <f>IF(L383&gt;0,L383,"")</f>
        <v/>
      </c>
      <c r="Y383">
        <f>IF(X383="","",IF(X383&gt;Stats!$B$15,"Outlier",""))</f>
        <v/>
      </c>
      <c r="Z383" t="str">
        <f>P383&amp;" vs "&amp;Q383</f>
        <v>Royal Challengers Bangalore vs Kolkata Knight Riders</v>
      </c>
    </row>
    <row r="384" spans="1:26" x14ac:dyDescent="0.25">
      <c r="A384">
        <v>442</v>
      </c>
      <c r="B384">
        <v>2013</v>
      </c>
      <c r="C384" s="5">
        <v>41406</v>
      </c>
      <c r="D384" t="s">
        <v>172</v>
      </c>
      <c r="E384" t="s">
        <v>12</v>
      </c>
      <c r="F384" t="s">
        <v>41</v>
      </c>
      <c r="G384" t="s">
        <v>41</v>
      </c>
      <c r="H384" t="s">
        <v>173</v>
      </c>
      <c r="I384" t="s">
        <v>174</v>
      </c>
      <c r="J384">
        <v>0</v>
      </c>
      <c r="K384" t="s">
        <v>41</v>
      </c>
      <c r="L384">
        <v>0</v>
      </c>
      <c r="M384">
        <v>5</v>
      </c>
      <c r="N384" t="s">
        <v>181</v>
      </c>
      <c r="O384" t="s">
        <v>118</v>
      </c>
      <c r="P384" t="str">
        <f>INDEX(Teams!$B:$B,MATCH(E384,Teams!$A:$A,0))</f>
        <v>Chennai Super Kings</v>
      </c>
      <c r="Q384" t="str">
        <f>INDEX(Teams!$B:$B,MATCH(F384,Teams!$A:$A,0))</f>
        <v>Rajasthan Royals</v>
      </c>
      <c r="R384" t="str">
        <f>INDEX(Teams!$B:$B,MATCH(G384,Teams!$A:$A,0))</f>
        <v>Rajasthan Royals</v>
      </c>
      <c r="S384" t="str">
        <f>IF(K384="","No result",INDEX(Teams!$B:$B,MATCH(K384,Teams!$A:$A,0)))</f>
        <v>Rajasthan Royals</v>
      </c>
      <c r="T384" t="str">
        <f>INDEX(Venues!$B:$B,MATCH(O384,Venues!$A:$A,0))</f>
        <v>Sawai Mansingh Stadium</v>
      </c>
      <c r="U384" t="str">
        <f>INDEX(Venues!$C:$C,MATCH(O384,Venues!$A:$A,0))</f>
        <v>Jaipur</v>
      </c>
      <c r="V384" t="str">
        <f>IF(L384&gt;0,L384&amp;" runs",IF(M384&gt;0,M384&amp;" wickets","-"))</f>
        <v>5 wickets</v>
      </c>
      <c r="W384">
        <f>IF(G384=K384,1,0)</f>
        <v>1</v>
      </c>
      <c r="X384">
        <f>IF(L384&gt;0,L384,"")</f>
        <v/>
      </c>
      <c r="Y384">
        <f>IF(X384="","",IF(X384&gt;Stats!$B$15,"Outlier",""))</f>
        <v/>
      </c>
      <c r="Z384" t="str">
        <f>P384&amp;" vs "&amp;Q384</f>
        <v>Chennai Super Kings vs Rajasthan Royals</v>
      </c>
    </row>
    <row r="385" spans="1:26" x14ac:dyDescent="0.25">
      <c r="A385">
        <v>444</v>
      </c>
      <c r="B385">
        <v>2013</v>
      </c>
      <c r="C385" s="5">
        <v>41407</v>
      </c>
      <c r="D385" t="s">
        <v>172</v>
      </c>
      <c r="E385" t="s">
        <v>49</v>
      </c>
      <c r="F385" t="s">
        <v>35</v>
      </c>
      <c r="G385" t="s">
        <v>49</v>
      </c>
      <c r="H385" t="s">
        <v>176</v>
      </c>
      <c r="I385" t="s">
        <v>174</v>
      </c>
      <c r="J385">
        <v>0</v>
      </c>
      <c r="K385" t="s">
        <v>35</v>
      </c>
      <c r="L385">
        <v>0</v>
      </c>
      <c r="M385">
        <v>7</v>
      </c>
      <c r="N385" t="s">
        <v>268</v>
      </c>
      <c r="O385" t="s">
        <v>138</v>
      </c>
      <c r="P385" t="str">
        <f>INDEX(Teams!$B:$B,MATCH(E385,Teams!$A:$A,0))</f>
        <v>Sunrisers Hyderabad</v>
      </c>
      <c r="Q385" t="str">
        <f>INDEX(Teams!$B:$B,MATCH(F385,Teams!$A:$A,0))</f>
        <v>Mumbai Indians</v>
      </c>
      <c r="R385" t="str">
        <f>INDEX(Teams!$B:$B,MATCH(G385,Teams!$A:$A,0))</f>
        <v>Sunrisers Hyderabad</v>
      </c>
      <c r="S385" t="str">
        <f>IF(K385="","No result",INDEX(Teams!$B:$B,MATCH(K385,Teams!$A:$A,0)))</f>
        <v>Mumbai Indians</v>
      </c>
      <c r="T385" t="str">
        <f>INDEX(Venues!$B:$B,MATCH(O385,Venues!$A:$A,0))</f>
        <v>Wankhede Stadium</v>
      </c>
      <c r="U385" t="str">
        <f>INDEX(Venues!$C:$C,MATCH(O385,Venues!$A:$A,0))</f>
        <v>Mumbai</v>
      </c>
      <c r="V385" t="str">
        <f>IF(L385&gt;0,L385&amp;" runs",IF(M385&gt;0,M385&amp;" wickets","-"))</f>
        <v>7 wickets</v>
      </c>
      <c r="W385">
        <f>IF(G385=K385,1,0)</f>
        <v>0</v>
      </c>
      <c r="X385">
        <f>IF(L385&gt;0,L385,"")</f>
        <v/>
      </c>
      <c r="Y385">
        <f>IF(X385="","",IF(X385&gt;Stats!$B$15,"Outlier",""))</f>
        <v/>
      </c>
      <c r="Z385" t="str">
        <f>P385&amp;" vs "&amp;Q385</f>
        <v>Sunrisers Hyderabad vs Mumbai Indians</v>
      </c>
    </row>
    <row r="386" spans="1:26" x14ac:dyDescent="0.25">
      <c r="A386">
        <v>429</v>
      </c>
      <c r="B386">
        <v>2013</v>
      </c>
      <c r="C386" s="5">
        <v>41408</v>
      </c>
      <c r="D386" t="s">
        <v>172</v>
      </c>
      <c r="E386" t="s">
        <v>46</v>
      </c>
      <c r="F386" t="s">
        <v>26</v>
      </c>
      <c r="G386" t="s">
        <v>26</v>
      </c>
      <c r="H386" t="s">
        <v>173</v>
      </c>
      <c r="I386" t="s">
        <v>174</v>
      </c>
      <c r="J386">
        <v>0</v>
      </c>
      <c r="K386" t="s">
        <v>26</v>
      </c>
      <c r="L386">
        <v>0</v>
      </c>
      <c r="M386">
        <v>7</v>
      </c>
      <c r="N386" t="s">
        <v>187</v>
      </c>
      <c r="O386" t="s">
        <v>92</v>
      </c>
      <c r="P386" t="str">
        <f>INDEX(Teams!$B:$B,MATCH(E386,Teams!$A:$A,0))</f>
        <v>Royal Challengers Bangalore</v>
      </c>
      <c r="Q386" t="str">
        <f>INDEX(Teams!$B:$B,MATCH(F386,Teams!$A:$A,0))</f>
        <v>Kings XI Punjab</v>
      </c>
      <c r="R386" t="str">
        <f>INDEX(Teams!$B:$B,MATCH(G386,Teams!$A:$A,0))</f>
        <v>Kings XI Punjab</v>
      </c>
      <c r="S386" t="str">
        <f>IF(K386="","No result",INDEX(Teams!$B:$B,MATCH(K386,Teams!$A:$A,0)))</f>
        <v>Kings XI Punjab</v>
      </c>
      <c r="T386" t="str">
        <f>INDEX(Venues!$B:$B,MATCH(O386,Venues!$A:$A,0))</f>
        <v>M Chinnaswamy Stadium</v>
      </c>
      <c r="U386" t="str">
        <f>INDEX(Venues!$C:$C,MATCH(O386,Venues!$A:$A,0))</f>
        <v>Bangalore</v>
      </c>
      <c r="V386" t="str">
        <f>IF(L386&gt;0,L386&amp;" runs",IF(M386&gt;0,M386&amp;" wickets","-"))</f>
        <v>7 wickets</v>
      </c>
      <c r="W386">
        <f>IF(G386=K386,1,0)</f>
        <v>1</v>
      </c>
      <c r="X386">
        <f>IF(L386&gt;0,L386,"")</f>
        <v/>
      </c>
      <c r="Y386">
        <f>IF(X386="","",IF(X386&gt;Stats!$B$15,"Outlier",""))</f>
        <v/>
      </c>
      <c r="Z386" t="str">
        <f>P386&amp;" vs "&amp;Q386</f>
        <v>Royal Challengers Bangalore vs Kings XI Punjab</v>
      </c>
    </row>
    <row r="387" spans="1:26" x14ac:dyDescent="0.25">
      <c r="A387">
        <v>446</v>
      </c>
      <c r="B387">
        <v>2013</v>
      </c>
      <c r="C387" s="5">
        <v>41408</v>
      </c>
      <c r="D387" t="s">
        <v>172</v>
      </c>
      <c r="E387" t="s">
        <v>12</v>
      </c>
      <c r="F387" t="s">
        <v>20</v>
      </c>
      <c r="G387" t="s">
        <v>12</v>
      </c>
      <c r="H387" t="s">
        <v>176</v>
      </c>
      <c r="I387" t="s">
        <v>174</v>
      </c>
      <c r="J387">
        <v>0</v>
      </c>
      <c r="K387" t="s">
        <v>12</v>
      </c>
      <c r="L387">
        <v>33</v>
      </c>
      <c r="M387">
        <v>0</v>
      </c>
      <c r="N387" t="s">
        <v>189</v>
      </c>
      <c r="O387" t="s">
        <v>94</v>
      </c>
      <c r="P387" t="str">
        <f>INDEX(Teams!$B:$B,MATCH(E387,Teams!$A:$A,0))</f>
        <v>Chennai Super Kings</v>
      </c>
      <c r="Q387" t="str">
        <f>INDEX(Teams!$B:$B,MATCH(F387,Teams!$A:$A,0))</f>
        <v>Delhi Capitals</v>
      </c>
      <c r="R387" t="str">
        <f>INDEX(Teams!$B:$B,MATCH(G387,Teams!$A:$A,0))</f>
        <v>Chennai Super Kings</v>
      </c>
      <c r="S387" t="str">
        <f>IF(K387="","No result",INDEX(Teams!$B:$B,MATCH(K387,Teams!$A:$A,0)))</f>
        <v>Chennai Super Kings</v>
      </c>
      <c r="T387" t="str">
        <f>INDEX(Venues!$B:$B,MATCH(O387,Venues!$A:$A,0))</f>
        <v>MA Chidambaram Stadium</v>
      </c>
      <c r="U387" t="str">
        <f>INDEX(Venues!$C:$C,MATCH(O387,Venues!$A:$A,0))</f>
        <v>Chennai</v>
      </c>
      <c r="V387" t="str">
        <f>IF(L387&gt;0,L387&amp;" runs",IF(M387&gt;0,M387&amp;" wickets","-"))</f>
        <v>33 runs</v>
      </c>
      <c r="W387">
        <f>IF(G387=K387,1,0)</f>
        <v>1</v>
      </c>
      <c r="X387">
        <f>IF(L387&gt;0,L387,"")</f>
        <v>33</v>
      </c>
      <c r="Y387">
        <f>IF(X387="","",IF(X387&gt;Stats!$B$15,"Outlier",""))</f>
        <v/>
      </c>
      <c r="Z387" t="str">
        <f>P387&amp;" vs "&amp;Q387</f>
        <v>Chennai Super Kings vs Delhi Capitals</v>
      </c>
    </row>
    <row r="388" spans="1:26" x14ac:dyDescent="0.25">
      <c r="A388">
        <v>445</v>
      </c>
      <c r="B388">
        <v>2013</v>
      </c>
      <c r="C388" s="5">
        <v>41409</v>
      </c>
      <c r="D388" t="s">
        <v>172</v>
      </c>
      <c r="E388" t="s">
        <v>38</v>
      </c>
      <c r="F388" t="s">
        <v>32</v>
      </c>
      <c r="G388" t="s">
        <v>32</v>
      </c>
      <c r="H388" t="s">
        <v>173</v>
      </c>
      <c r="I388" t="s">
        <v>174</v>
      </c>
      <c r="J388">
        <v>0</v>
      </c>
      <c r="K388" t="s">
        <v>38</v>
      </c>
      <c r="L388">
        <v>7</v>
      </c>
      <c r="M388">
        <v>0</v>
      </c>
      <c r="N388" t="s">
        <v>246</v>
      </c>
      <c r="O388" t="s">
        <v>86</v>
      </c>
      <c r="P388" t="str">
        <f>INDEX(Teams!$B:$B,MATCH(E388,Teams!$A:$A,0))</f>
        <v>Pune Warriors</v>
      </c>
      <c r="Q388" t="str">
        <f>INDEX(Teams!$B:$B,MATCH(F388,Teams!$A:$A,0))</f>
        <v>Kolkata Knight Riders</v>
      </c>
      <c r="R388" t="str">
        <f>INDEX(Teams!$B:$B,MATCH(G388,Teams!$A:$A,0))</f>
        <v>Kolkata Knight Riders</v>
      </c>
      <c r="S388" t="str">
        <f>IF(K388="","No result",INDEX(Teams!$B:$B,MATCH(K388,Teams!$A:$A,0)))</f>
        <v>Pune Warriors</v>
      </c>
      <c r="T388" t="str">
        <f>INDEX(Venues!$B:$B,MATCH(O388,Venues!$A:$A,0))</f>
        <v>JSCA International Stadium Complex</v>
      </c>
      <c r="U388" t="str">
        <f>INDEX(Venues!$C:$C,MATCH(O388,Venues!$A:$A,0))</f>
        <v>Ranchi</v>
      </c>
      <c r="V388" t="str">
        <f>IF(L388&gt;0,L388&amp;" runs",IF(M388&gt;0,M388&amp;" wickets","-"))</f>
        <v>7 runs</v>
      </c>
      <c r="W388">
        <f>IF(G388=K388,1,0)</f>
        <v>0</v>
      </c>
      <c r="X388">
        <f>IF(L388&gt;0,L388,"")</f>
        <v>7</v>
      </c>
      <c r="Y388">
        <f>IF(X388="","",IF(X388&gt;Stats!$B$15,"Outlier",""))</f>
        <v/>
      </c>
      <c r="Z388" t="str">
        <f>P388&amp;" vs "&amp;Q388</f>
        <v>Pune Warriors vs Kolkata Knight Riders</v>
      </c>
    </row>
    <row r="389" spans="1:26" x14ac:dyDescent="0.25">
      <c r="A389">
        <v>447</v>
      </c>
      <c r="B389">
        <v>2013</v>
      </c>
      <c r="C389" s="5">
        <v>41409</v>
      </c>
      <c r="D389" t="s">
        <v>172</v>
      </c>
      <c r="E389" t="s">
        <v>35</v>
      </c>
      <c r="F389" t="s">
        <v>41</v>
      </c>
      <c r="G389" t="s">
        <v>41</v>
      </c>
      <c r="H389" t="s">
        <v>173</v>
      </c>
      <c r="I389" t="s">
        <v>174</v>
      </c>
      <c r="J389">
        <v>0</v>
      </c>
      <c r="K389" t="s">
        <v>35</v>
      </c>
      <c r="L389">
        <v>14</v>
      </c>
      <c r="M389">
        <v>0</v>
      </c>
      <c r="N389" t="s">
        <v>328</v>
      </c>
      <c r="O389" t="s">
        <v>138</v>
      </c>
      <c r="P389" t="str">
        <f>INDEX(Teams!$B:$B,MATCH(E389,Teams!$A:$A,0))</f>
        <v>Mumbai Indians</v>
      </c>
      <c r="Q389" t="str">
        <f>INDEX(Teams!$B:$B,MATCH(F389,Teams!$A:$A,0))</f>
        <v>Rajasthan Royals</v>
      </c>
      <c r="R389" t="str">
        <f>INDEX(Teams!$B:$B,MATCH(G389,Teams!$A:$A,0))</f>
        <v>Rajasthan Royals</v>
      </c>
      <c r="S389" t="str">
        <f>IF(K389="","No result",INDEX(Teams!$B:$B,MATCH(K389,Teams!$A:$A,0)))</f>
        <v>Mumbai Indians</v>
      </c>
      <c r="T389" t="str">
        <f>INDEX(Venues!$B:$B,MATCH(O389,Venues!$A:$A,0))</f>
        <v>Wankhede Stadium</v>
      </c>
      <c r="U389" t="str">
        <f>INDEX(Venues!$C:$C,MATCH(O389,Venues!$A:$A,0))</f>
        <v>Mumbai</v>
      </c>
      <c r="V389" t="str">
        <f>IF(L389&gt;0,L389&amp;" runs",IF(M389&gt;0,M389&amp;" wickets","-"))</f>
        <v>14 runs</v>
      </c>
      <c r="W389">
        <f>IF(G389=K389,1,0)</f>
        <v>0</v>
      </c>
      <c r="X389">
        <f>IF(L389&gt;0,L389,"")</f>
        <v>14</v>
      </c>
      <c r="Y389">
        <f>IF(X389="","",IF(X389&gt;Stats!$B$15,"Outlier",""))</f>
        <v/>
      </c>
      <c r="Z389" t="str">
        <f>P389&amp;" vs "&amp;Q389</f>
        <v>Mumbai Indians vs Rajasthan Royals</v>
      </c>
    </row>
    <row r="390" spans="1:26" x14ac:dyDescent="0.25">
      <c r="A390">
        <v>412</v>
      </c>
      <c r="B390">
        <v>2013</v>
      </c>
      <c r="C390" s="5">
        <v>41410</v>
      </c>
      <c r="D390" t="s">
        <v>172</v>
      </c>
      <c r="E390" t="s">
        <v>26</v>
      </c>
      <c r="F390" t="s">
        <v>20</v>
      </c>
      <c r="G390" t="s">
        <v>20</v>
      </c>
      <c r="H390" t="s">
        <v>173</v>
      </c>
      <c r="I390" t="s">
        <v>174</v>
      </c>
      <c r="J390">
        <v>0</v>
      </c>
      <c r="K390" t="s">
        <v>26</v>
      </c>
      <c r="L390">
        <v>7</v>
      </c>
      <c r="M390">
        <v>0</v>
      </c>
      <c r="N390" t="s">
        <v>322</v>
      </c>
      <c r="O390" t="s">
        <v>80</v>
      </c>
      <c r="P390" t="str">
        <f>INDEX(Teams!$B:$B,MATCH(E390,Teams!$A:$A,0))</f>
        <v>Kings XI Punjab</v>
      </c>
      <c r="Q390" t="str">
        <f>INDEX(Teams!$B:$B,MATCH(F390,Teams!$A:$A,0))</f>
        <v>Delhi Capitals</v>
      </c>
      <c r="R390" t="str">
        <f>INDEX(Teams!$B:$B,MATCH(G390,Teams!$A:$A,0))</f>
        <v>Delhi Capitals</v>
      </c>
      <c r="S390" t="str">
        <f>IF(K390="","No result",INDEX(Teams!$B:$B,MATCH(K390,Teams!$A:$A,0)))</f>
        <v>Kings XI Punjab</v>
      </c>
      <c r="T390" t="str">
        <f>INDEX(Venues!$B:$B,MATCH(O390,Venues!$A:$A,0))</f>
        <v>Himachal Pradesh Cricket Association Stadium</v>
      </c>
      <c r="U390" t="str">
        <f>INDEX(Venues!$C:$C,MATCH(O390,Venues!$A:$A,0))</f>
        <v>Dharamsala</v>
      </c>
      <c r="V390" t="str">
        <f>IF(L390&gt;0,L390&amp;" runs",IF(M390&gt;0,M390&amp;" wickets","-"))</f>
        <v>7 runs</v>
      </c>
      <c r="W390">
        <f>IF(G390=K390,1,0)</f>
        <v>0</v>
      </c>
      <c r="X390">
        <f>IF(L390&gt;0,L390,"")</f>
        <v>7</v>
      </c>
      <c r="Y390">
        <f>IF(X390="","",IF(X390&gt;Stats!$B$15,"Outlier",""))</f>
        <v/>
      </c>
      <c r="Z390" t="str">
        <f>P390&amp;" vs "&amp;Q390</f>
        <v>Kings XI Punjab vs Delhi Capitals</v>
      </c>
    </row>
    <row r="391" spans="1:26" x14ac:dyDescent="0.25">
      <c r="A391">
        <v>449</v>
      </c>
      <c r="B391">
        <v>2013</v>
      </c>
      <c r="C391" s="5">
        <v>41411</v>
      </c>
      <c r="D391" t="s">
        <v>172</v>
      </c>
      <c r="E391" t="s">
        <v>49</v>
      </c>
      <c r="F391" t="s">
        <v>41</v>
      </c>
      <c r="G391" t="s">
        <v>49</v>
      </c>
      <c r="H391" t="s">
        <v>176</v>
      </c>
      <c r="I391" t="s">
        <v>174</v>
      </c>
      <c r="J391">
        <v>0</v>
      </c>
      <c r="K391" t="s">
        <v>49</v>
      </c>
      <c r="L391">
        <v>23</v>
      </c>
      <c r="M391">
        <v>0</v>
      </c>
      <c r="N391" t="s">
        <v>203</v>
      </c>
      <c r="O391" t="s">
        <v>111</v>
      </c>
      <c r="P391" t="str">
        <f>INDEX(Teams!$B:$B,MATCH(E391,Teams!$A:$A,0))</f>
        <v>Sunrisers Hyderabad</v>
      </c>
      <c r="Q391" t="str">
        <f>INDEX(Teams!$B:$B,MATCH(F391,Teams!$A:$A,0))</f>
        <v>Rajasthan Royals</v>
      </c>
      <c r="R391" t="str">
        <f>INDEX(Teams!$B:$B,MATCH(G391,Teams!$A:$A,0))</f>
        <v>Sunrisers Hyderabad</v>
      </c>
      <c r="S391" t="str">
        <f>IF(K391="","No result",INDEX(Teams!$B:$B,MATCH(K391,Teams!$A:$A,0)))</f>
        <v>Sunrisers Hyderabad</v>
      </c>
      <c r="T391" t="str">
        <f>INDEX(Venues!$B:$B,MATCH(O391,Venues!$A:$A,0))</f>
        <v>Rajiv Gandhi International Stadium</v>
      </c>
      <c r="U391" t="str">
        <f>INDEX(Venues!$C:$C,MATCH(O391,Venues!$A:$A,0))</f>
        <v>Hyderabad</v>
      </c>
      <c r="V391" t="str">
        <f>IF(L391&gt;0,L391&amp;" runs",IF(M391&gt;0,M391&amp;" wickets","-"))</f>
        <v>23 runs</v>
      </c>
      <c r="W391">
        <f>IF(G391=K391,1,0)</f>
        <v>1</v>
      </c>
      <c r="X391">
        <f>IF(L391&gt;0,L391,"")</f>
        <v>23</v>
      </c>
      <c r="Y391">
        <f>IF(X391="","",IF(X391&gt;Stats!$B$15,"Outlier",""))</f>
        <v/>
      </c>
      <c r="Z391" t="str">
        <f>P391&amp;" vs "&amp;Q391</f>
        <v>Sunrisers Hyderabad vs Rajasthan Royals</v>
      </c>
    </row>
    <row r="392" spans="1:26" x14ac:dyDescent="0.25">
      <c r="A392">
        <v>450</v>
      </c>
      <c r="B392">
        <v>2013</v>
      </c>
      <c r="C392" s="5">
        <v>41412</v>
      </c>
      <c r="D392" t="s">
        <v>172</v>
      </c>
      <c r="E392" t="s">
        <v>26</v>
      </c>
      <c r="F392" t="s">
        <v>35</v>
      </c>
      <c r="G392" t="s">
        <v>35</v>
      </c>
      <c r="H392" t="s">
        <v>173</v>
      </c>
      <c r="I392" t="s">
        <v>174</v>
      </c>
      <c r="J392">
        <v>0</v>
      </c>
      <c r="K392" t="s">
        <v>26</v>
      </c>
      <c r="L392">
        <v>50</v>
      </c>
      <c r="M392">
        <v>0</v>
      </c>
      <c r="N392" t="s">
        <v>312</v>
      </c>
      <c r="O392" t="s">
        <v>80</v>
      </c>
      <c r="P392" t="str">
        <f>INDEX(Teams!$B:$B,MATCH(E392,Teams!$A:$A,0))</f>
        <v>Kings XI Punjab</v>
      </c>
      <c r="Q392" t="str">
        <f>INDEX(Teams!$B:$B,MATCH(F392,Teams!$A:$A,0))</f>
        <v>Mumbai Indians</v>
      </c>
      <c r="R392" t="str">
        <f>INDEX(Teams!$B:$B,MATCH(G392,Teams!$A:$A,0))</f>
        <v>Mumbai Indians</v>
      </c>
      <c r="S392" t="str">
        <f>IF(K392="","No result",INDEX(Teams!$B:$B,MATCH(K392,Teams!$A:$A,0)))</f>
        <v>Kings XI Punjab</v>
      </c>
      <c r="T392" t="str">
        <f>INDEX(Venues!$B:$B,MATCH(O392,Venues!$A:$A,0))</f>
        <v>Himachal Pradesh Cricket Association Stadium</v>
      </c>
      <c r="U392" t="str">
        <f>INDEX(Venues!$C:$C,MATCH(O392,Venues!$A:$A,0))</f>
        <v>Dharamsala</v>
      </c>
      <c r="V392" t="str">
        <f>IF(L392&gt;0,L392&amp;" runs",IF(M392&gt;0,M392&amp;" wickets","-"))</f>
        <v>50 runs</v>
      </c>
      <c r="W392">
        <f>IF(G392=K392,1,0)</f>
        <v>0</v>
      </c>
      <c r="X392">
        <f>IF(L392&gt;0,L392,"")</f>
        <v>50</v>
      </c>
      <c r="Y392">
        <f>IF(X392="","",IF(X392&gt;Stats!$B$15,"Outlier",""))</f>
        <v/>
      </c>
      <c r="Z392" t="str">
        <f>P392&amp;" vs "&amp;Q392</f>
        <v>Kings XI Punjab vs Mumbai Indians</v>
      </c>
    </row>
    <row r="393" spans="1:26" x14ac:dyDescent="0.25">
      <c r="A393">
        <v>452</v>
      </c>
      <c r="B393">
        <v>2013</v>
      </c>
      <c r="C393" s="5">
        <v>41412</v>
      </c>
      <c r="D393" t="s">
        <v>172</v>
      </c>
      <c r="E393" t="s">
        <v>46</v>
      </c>
      <c r="F393" t="s">
        <v>12</v>
      </c>
      <c r="G393" t="s">
        <v>12</v>
      </c>
      <c r="H393" t="s">
        <v>173</v>
      </c>
      <c r="I393" t="s">
        <v>174</v>
      </c>
      <c r="J393">
        <v>0</v>
      </c>
      <c r="K393" t="s">
        <v>46</v>
      </c>
      <c r="L393">
        <v>24</v>
      </c>
      <c r="M393">
        <v>0</v>
      </c>
      <c r="N393" t="s">
        <v>282</v>
      </c>
      <c r="O393" t="s">
        <v>92</v>
      </c>
      <c r="P393" t="str">
        <f>INDEX(Teams!$B:$B,MATCH(E393,Teams!$A:$A,0))</f>
        <v>Royal Challengers Bangalore</v>
      </c>
      <c r="Q393" t="str">
        <f>INDEX(Teams!$B:$B,MATCH(F393,Teams!$A:$A,0))</f>
        <v>Chennai Super Kings</v>
      </c>
      <c r="R393" t="str">
        <f>INDEX(Teams!$B:$B,MATCH(G393,Teams!$A:$A,0))</f>
        <v>Chennai Super Kings</v>
      </c>
      <c r="S393" t="str">
        <f>IF(K393="","No result",INDEX(Teams!$B:$B,MATCH(K393,Teams!$A:$A,0)))</f>
        <v>Royal Challengers Bangalore</v>
      </c>
      <c r="T393" t="str">
        <f>INDEX(Venues!$B:$B,MATCH(O393,Venues!$A:$A,0))</f>
        <v>M Chinnaswamy Stadium</v>
      </c>
      <c r="U393" t="str">
        <f>INDEX(Venues!$C:$C,MATCH(O393,Venues!$A:$A,0))</f>
        <v>Bangalore</v>
      </c>
      <c r="V393" t="str">
        <f>IF(L393&gt;0,L393&amp;" runs",IF(M393&gt;0,M393&amp;" wickets","-"))</f>
        <v>24 runs</v>
      </c>
      <c r="W393">
        <f>IF(G393=K393,1,0)</f>
        <v>0</v>
      </c>
      <c r="X393">
        <f>IF(L393&gt;0,L393,"")</f>
        <v>24</v>
      </c>
      <c r="Y393">
        <f>IF(X393="","",IF(X393&gt;Stats!$B$15,"Outlier",""))</f>
        <v/>
      </c>
      <c r="Z393" t="str">
        <f>P393&amp;" vs "&amp;Q393</f>
        <v>Royal Challengers Bangalore vs Chennai Super Kings</v>
      </c>
    </row>
    <row r="394" spans="1:26" x14ac:dyDescent="0.25">
      <c r="A394">
        <v>451</v>
      </c>
      <c r="B394">
        <v>2013</v>
      </c>
      <c r="C394" s="5">
        <v>41413</v>
      </c>
      <c r="D394" t="s">
        <v>172</v>
      </c>
      <c r="E394" t="s">
        <v>38</v>
      </c>
      <c r="F394" t="s">
        <v>20</v>
      </c>
      <c r="G394" t="s">
        <v>38</v>
      </c>
      <c r="H394" t="s">
        <v>176</v>
      </c>
      <c r="I394" t="s">
        <v>174</v>
      </c>
      <c r="J394">
        <v>0</v>
      </c>
      <c r="K394" t="s">
        <v>38</v>
      </c>
      <c r="L394">
        <v>38</v>
      </c>
      <c r="M394">
        <v>0</v>
      </c>
      <c r="N394" t="s">
        <v>329</v>
      </c>
      <c r="O394" t="s">
        <v>96</v>
      </c>
      <c r="P394" t="str">
        <f>INDEX(Teams!$B:$B,MATCH(E394,Teams!$A:$A,0))</f>
        <v>Pune Warriors</v>
      </c>
      <c r="Q394" t="str">
        <f>INDEX(Teams!$B:$B,MATCH(F394,Teams!$A:$A,0))</f>
        <v>Delhi Capitals</v>
      </c>
      <c r="R394" t="str">
        <f>INDEX(Teams!$B:$B,MATCH(G394,Teams!$A:$A,0))</f>
        <v>Pune Warriors</v>
      </c>
      <c r="S394" t="str">
        <f>IF(K394="","No result",INDEX(Teams!$B:$B,MATCH(K394,Teams!$A:$A,0)))</f>
        <v>Pune Warriors</v>
      </c>
      <c r="T394" t="str">
        <f>INDEX(Venues!$B:$B,MATCH(O394,Venues!$A:$A,0))</f>
        <v>Maharashtra Cricket Association Stadium</v>
      </c>
      <c r="U394" t="str">
        <f>INDEX(Venues!$C:$C,MATCH(O394,Venues!$A:$A,0))</f>
        <v>Pune</v>
      </c>
      <c r="V394" t="str">
        <f>IF(L394&gt;0,L394&amp;" runs",IF(M394&gt;0,M394&amp;" wickets","-"))</f>
        <v>38 runs</v>
      </c>
      <c r="W394">
        <f>IF(G394=K394,1,0)</f>
        <v>1</v>
      </c>
      <c r="X394">
        <f>IF(L394&gt;0,L394,"")</f>
        <v>38</v>
      </c>
      <c r="Y394">
        <f>IF(X394="","",IF(X394&gt;Stats!$B$15,"Outlier",""))</f>
        <v/>
      </c>
      <c r="Z394" t="str">
        <f>P394&amp;" vs "&amp;Q394</f>
        <v>Pune Warriors vs Delhi Capitals</v>
      </c>
    </row>
    <row r="395" spans="1:26" x14ac:dyDescent="0.25">
      <c r="A395">
        <v>453</v>
      </c>
      <c r="B395">
        <v>2013</v>
      </c>
      <c r="C395" s="5">
        <v>41413</v>
      </c>
      <c r="D395" t="s">
        <v>172</v>
      </c>
      <c r="E395" t="s">
        <v>32</v>
      </c>
      <c r="F395" t="s">
        <v>49</v>
      </c>
      <c r="G395" t="s">
        <v>32</v>
      </c>
      <c r="H395" t="s">
        <v>176</v>
      </c>
      <c r="I395" t="s">
        <v>174</v>
      </c>
      <c r="J395">
        <v>0</v>
      </c>
      <c r="K395" t="s">
        <v>49</v>
      </c>
      <c r="L395">
        <v>0</v>
      </c>
      <c r="M395">
        <v>5</v>
      </c>
      <c r="N395" t="s">
        <v>327</v>
      </c>
      <c r="O395" t="s">
        <v>111</v>
      </c>
      <c r="P395" t="str">
        <f>INDEX(Teams!$B:$B,MATCH(E395,Teams!$A:$A,0))</f>
        <v>Kolkata Knight Riders</v>
      </c>
      <c r="Q395" t="str">
        <f>INDEX(Teams!$B:$B,MATCH(F395,Teams!$A:$A,0))</f>
        <v>Sunrisers Hyderabad</v>
      </c>
      <c r="R395" t="str">
        <f>INDEX(Teams!$B:$B,MATCH(G395,Teams!$A:$A,0))</f>
        <v>Kolkata Knight Riders</v>
      </c>
      <c r="S395" t="str">
        <f>IF(K395="","No result",INDEX(Teams!$B:$B,MATCH(K395,Teams!$A:$A,0)))</f>
        <v>Sunrisers Hyderabad</v>
      </c>
      <c r="T395" t="str">
        <f>INDEX(Venues!$B:$B,MATCH(O395,Venues!$A:$A,0))</f>
        <v>Rajiv Gandhi International Stadium</v>
      </c>
      <c r="U395" t="str">
        <f>INDEX(Venues!$C:$C,MATCH(O395,Venues!$A:$A,0))</f>
        <v>Hyderabad</v>
      </c>
      <c r="V395" t="str">
        <f>IF(L395&gt;0,L395&amp;" runs",IF(M395&gt;0,M395&amp;" wickets","-"))</f>
        <v>5 wickets</v>
      </c>
      <c r="W395">
        <f>IF(G395=K395,1,0)</f>
        <v>0</v>
      </c>
      <c r="X395">
        <f>IF(L395&gt;0,L395,"")</f>
        <v/>
      </c>
      <c r="Y395">
        <f>IF(X395="","",IF(X395&gt;Stats!$B$15,"Outlier",""))</f>
        <v/>
      </c>
      <c r="Z395" t="str">
        <f>P395&amp;" vs "&amp;Q395</f>
        <v>Kolkata Knight Riders vs Sunrisers Hyderabad</v>
      </c>
    </row>
    <row r="396" spans="1:26" x14ac:dyDescent="0.25">
      <c r="A396">
        <v>454</v>
      </c>
      <c r="B396">
        <v>2013</v>
      </c>
      <c r="C396" s="5">
        <v>41415</v>
      </c>
      <c r="D396" t="s">
        <v>172</v>
      </c>
      <c r="E396" t="s">
        <v>12</v>
      </c>
      <c r="F396" t="s">
        <v>35</v>
      </c>
      <c r="G396" t="s">
        <v>12</v>
      </c>
      <c r="H396" t="s">
        <v>176</v>
      </c>
      <c r="I396" t="s">
        <v>174</v>
      </c>
      <c r="J396">
        <v>0</v>
      </c>
      <c r="K396" t="s">
        <v>12</v>
      </c>
      <c r="L396">
        <v>48</v>
      </c>
      <c r="M396">
        <v>0</v>
      </c>
      <c r="N396" t="s">
        <v>177</v>
      </c>
      <c r="O396" t="s">
        <v>75</v>
      </c>
      <c r="P396" t="str">
        <f>INDEX(Teams!$B:$B,MATCH(E396,Teams!$A:$A,0))</f>
        <v>Chennai Super Kings</v>
      </c>
      <c r="Q396" t="str">
        <f>INDEX(Teams!$B:$B,MATCH(F396,Teams!$A:$A,0))</f>
        <v>Mumbai Indians</v>
      </c>
      <c r="R396" t="str">
        <f>INDEX(Teams!$B:$B,MATCH(G396,Teams!$A:$A,0))</f>
        <v>Chennai Super Kings</v>
      </c>
      <c r="S396" t="str">
        <f>IF(K396="","No result",INDEX(Teams!$B:$B,MATCH(K396,Teams!$A:$A,0)))</f>
        <v>Chennai Super Kings</v>
      </c>
      <c r="T396" t="str">
        <f>INDEX(Venues!$B:$B,MATCH(O396,Venues!$A:$A,0))</f>
        <v>Feroz Shah Kotla</v>
      </c>
      <c r="U396" t="str">
        <f>INDEX(Venues!$C:$C,MATCH(O396,Venues!$A:$A,0))</f>
        <v>Delhi</v>
      </c>
      <c r="V396" t="str">
        <f>IF(L396&gt;0,L396&amp;" runs",IF(M396&gt;0,M396&amp;" wickets","-"))</f>
        <v>48 runs</v>
      </c>
      <c r="W396">
        <f>IF(G396=K396,1,0)</f>
        <v>1</v>
      </c>
      <c r="X396">
        <f>IF(L396&gt;0,L396,"")</f>
        <v>48</v>
      </c>
      <c r="Y396">
        <f>IF(X396="","",IF(X396&gt;Stats!$B$15,"Outlier",""))</f>
        <v/>
      </c>
      <c r="Z396" t="str">
        <f>P396&amp;" vs "&amp;Q396</f>
        <v>Chennai Super Kings vs Mumbai Indians</v>
      </c>
    </row>
    <row r="397" spans="1:26" x14ac:dyDescent="0.25">
      <c r="A397">
        <v>455</v>
      </c>
      <c r="B397">
        <v>2013</v>
      </c>
      <c r="C397" s="5">
        <v>41416</v>
      </c>
      <c r="D397" t="s">
        <v>172</v>
      </c>
      <c r="E397" t="s">
        <v>49</v>
      </c>
      <c r="F397" t="s">
        <v>41</v>
      </c>
      <c r="G397" t="s">
        <v>49</v>
      </c>
      <c r="H397" t="s">
        <v>176</v>
      </c>
      <c r="I397" t="s">
        <v>174</v>
      </c>
      <c r="J397">
        <v>0</v>
      </c>
      <c r="K397" t="s">
        <v>41</v>
      </c>
      <c r="L397">
        <v>0</v>
      </c>
      <c r="M397">
        <v>4</v>
      </c>
      <c r="N397" t="s">
        <v>244</v>
      </c>
      <c r="O397" t="s">
        <v>75</v>
      </c>
      <c r="P397" t="str">
        <f>INDEX(Teams!$B:$B,MATCH(E397,Teams!$A:$A,0))</f>
        <v>Sunrisers Hyderabad</v>
      </c>
      <c r="Q397" t="str">
        <f>INDEX(Teams!$B:$B,MATCH(F397,Teams!$A:$A,0))</f>
        <v>Rajasthan Royals</v>
      </c>
      <c r="R397" t="str">
        <f>INDEX(Teams!$B:$B,MATCH(G397,Teams!$A:$A,0))</f>
        <v>Sunrisers Hyderabad</v>
      </c>
      <c r="S397" t="str">
        <f>IF(K397="","No result",INDEX(Teams!$B:$B,MATCH(K397,Teams!$A:$A,0)))</f>
        <v>Rajasthan Royals</v>
      </c>
      <c r="T397" t="str">
        <f>INDEX(Venues!$B:$B,MATCH(O397,Venues!$A:$A,0))</f>
        <v>Feroz Shah Kotla</v>
      </c>
      <c r="U397" t="str">
        <f>INDEX(Venues!$C:$C,MATCH(O397,Venues!$A:$A,0))</f>
        <v>Delhi</v>
      </c>
      <c r="V397" t="str">
        <f>IF(L397&gt;0,L397&amp;" runs",IF(M397&gt;0,M397&amp;" wickets","-"))</f>
        <v>4 wickets</v>
      </c>
      <c r="W397">
        <f>IF(G397=K397,1,0)</f>
        <v>0</v>
      </c>
      <c r="X397">
        <f>IF(L397&gt;0,L397,"")</f>
        <v/>
      </c>
      <c r="Y397">
        <f>IF(X397="","",IF(X397&gt;Stats!$B$15,"Outlier",""))</f>
        <v/>
      </c>
      <c r="Z397" t="str">
        <f>P397&amp;" vs "&amp;Q397</f>
        <v>Sunrisers Hyderabad vs Rajasthan Royals</v>
      </c>
    </row>
    <row r="398" spans="1:26" x14ac:dyDescent="0.25">
      <c r="A398">
        <v>456</v>
      </c>
      <c r="B398">
        <v>2013</v>
      </c>
      <c r="C398" s="5">
        <v>41418</v>
      </c>
      <c r="D398" t="s">
        <v>172</v>
      </c>
      <c r="E398" t="s">
        <v>41</v>
      </c>
      <c r="F398" t="s">
        <v>35</v>
      </c>
      <c r="G398" t="s">
        <v>41</v>
      </c>
      <c r="H398" t="s">
        <v>176</v>
      </c>
      <c r="I398" t="s">
        <v>174</v>
      </c>
      <c r="J398">
        <v>0</v>
      </c>
      <c r="K398" t="s">
        <v>35</v>
      </c>
      <c r="L398">
        <v>0</v>
      </c>
      <c r="M398">
        <v>4</v>
      </c>
      <c r="N398" t="s">
        <v>240</v>
      </c>
      <c r="O398" t="s">
        <v>73</v>
      </c>
      <c r="P398" t="str">
        <f>INDEX(Teams!$B:$B,MATCH(E398,Teams!$A:$A,0))</f>
        <v>Rajasthan Royals</v>
      </c>
      <c r="Q398" t="str">
        <f>INDEX(Teams!$B:$B,MATCH(F398,Teams!$A:$A,0))</f>
        <v>Mumbai Indians</v>
      </c>
      <c r="R398" t="str">
        <f>INDEX(Teams!$B:$B,MATCH(G398,Teams!$A:$A,0))</f>
        <v>Rajasthan Royals</v>
      </c>
      <c r="S398" t="str">
        <f>IF(K398="","No result",INDEX(Teams!$B:$B,MATCH(K398,Teams!$A:$A,0)))</f>
        <v>Mumbai Indians</v>
      </c>
      <c r="T398" t="str">
        <f>INDEX(Venues!$B:$B,MATCH(O398,Venues!$A:$A,0))</f>
        <v>Eden Gardens</v>
      </c>
      <c r="U398" t="str">
        <f>INDEX(Venues!$C:$C,MATCH(O398,Venues!$A:$A,0))</f>
        <v>Kolkata</v>
      </c>
      <c r="V398" t="str">
        <f>IF(L398&gt;0,L398&amp;" runs",IF(M398&gt;0,M398&amp;" wickets","-"))</f>
        <v>4 wickets</v>
      </c>
      <c r="W398">
        <f>IF(G398=K398,1,0)</f>
        <v>0</v>
      </c>
      <c r="X398">
        <f>IF(L398&gt;0,L398,"")</f>
        <v/>
      </c>
      <c r="Y398">
        <f>IF(X398="","",IF(X398&gt;Stats!$B$15,"Outlier",""))</f>
        <v/>
      </c>
      <c r="Z398" t="str">
        <f>P398&amp;" vs "&amp;Q398</f>
        <v>Rajasthan Royals vs Mumbai Indians</v>
      </c>
    </row>
    <row r="399" spans="1:26" x14ac:dyDescent="0.25">
      <c r="A399">
        <v>457</v>
      </c>
      <c r="B399">
        <v>2013</v>
      </c>
      <c r="C399" s="5">
        <v>41420</v>
      </c>
      <c r="D399" t="s">
        <v>216</v>
      </c>
      <c r="E399" t="s">
        <v>35</v>
      </c>
      <c r="F399" t="s">
        <v>12</v>
      </c>
      <c r="G399" t="s">
        <v>35</v>
      </c>
      <c r="H399" t="s">
        <v>176</v>
      </c>
      <c r="I399" t="s">
        <v>174</v>
      </c>
      <c r="J399">
        <v>0</v>
      </c>
      <c r="K399" t="s">
        <v>35</v>
      </c>
      <c r="L399">
        <v>23</v>
      </c>
      <c r="M399">
        <v>0</v>
      </c>
      <c r="N399" t="s">
        <v>268</v>
      </c>
      <c r="O399" t="s">
        <v>73</v>
      </c>
      <c r="P399" t="str">
        <f>INDEX(Teams!$B:$B,MATCH(E399,Teams!$A:$A,0))</f>
        <v>Mumbai Indians</v>
      </c>
      <c r="Q399" t="str">
        <f>INDEX(Teams!$B:$B,MATCH(F399,Teams!$A:$A,0))</f>
        <v>Chennai Super Kings</v>
      </c>
      <c r="R399" t="str">
        <f>INDEX(Teams!$B:$B,MATCH(G399,Teams!$A:$A,0))</f>
        <v>Mumbai Indians</v>
      </c>
      <c r="S399" t="str">
        <f>IF(K399="","No result",INDEX(Teams!$B:$B,MATCH(K399,Teams!$A:$A,0)))</f>
        <v>Mumbai Indians</v>
      </c>
      <c r="T399" t="str">
        <f>INDEX(Venues!$B:$B,MATCH(O399,Venues!$A:$A,0))</f>
        <v>Eden Gardens</v>
      </c>
      <c r="U399" t="str">
        <f>INDEX(Venues!$C:$C,MATCH(O399,Venues!$A:$A,0))</f>
        <v>Kolkata</v>
      </c>
      <c r="V399" t="str">
        <f>IF(L399&gt;0,L399&amp;" runs",IF(M399&gt;0,M399&amp;" wickets","-"))</f>
        <v>23 runs</v>
      </c>
      <c r="W399">
        <f>IF(G399=K399,1,0)</f>
        <v>1</v>
      </c>
      <c r="X399">
        <f>IF(L399&gt;0,L399,"")</f>
        <v>23</v>
      </c>
      <c r="Y399">
        <f>IF(X399="","",IF(X399&gt;Stats!$B$15,"Outlier",""))</f>
        <v/>
      </c>
      <c r="Z399" t="str">
        <f>P399&amp;" vs "&amp;Q399</f>
        <v>Mumbai Indians vs Chennai Super Kings</v>
      </c>
    </row>
    <row r="400" spans="1:26" x14ac:dyDescent="0.25">
      <c r="A400">
        <v>458</v>
      </c>
      <c r="B400">
        <v>2014</v>
      </c>
      <c r="C400" s="5">
        <v>41745</v>
      </c>
      <c r="D400" t="s">
        <v>172</v>
      </c>
      <c r="E400" t="s">
        <v>32</v>
      </c>
      <c r="F400" t="s">
        <v>35</v>
      </c>
      <c r="G400" t="s">
        <v>32</v>
      </c>
      <c r="H400" t="s">
        <v>176</v>
      </c>
      <c r="I400" t="s">
        <v>174</v>
      </c>
      <c r="J400">
        <v>0</v>
      </c>
      <c r="K400" t="s">
        <v>32</v>
      </c>
      <c r="L400">
        <v>41</v>
      </c>
      <c r="M400">
        <v>0</v>
      </c>
      <c r="N400" t="s">
        <v>233</v>
      </c>
      <c r="O400" t="s">
        <v>126</v>
      </c>
      <c r="P400" t="str">
        <f>INDEX(Teams!$B:$B,MATCH(E400,Teams!$A:$A,0))</f>
        <v>Kolkata Knight Riders</v>
      </c>
      <c r="Q400" t="str">
        <f>INDEX(Teams!$B:$B,MATCH(F400,Teams!$A:$A,0))</f>
        <v>Mumbai Indians</v>
      </c>
      <c r="R400" t="str">
        <f>INDEX(Teams!$B:$B,MATCH(G400,Teams!$A:$A,0))</f>
        <v>Kolkata Knight Riders</v>
      </c>
      <c r="S400" t="str">
        <f>IF(K400="","No result",INDEX(Teams!$B:$B,MATCH(K400,Teams!$A:$A,0)))</f>
        <v>Kolkata Knight Riders</v>
      </c>
      <c r="T400" t="str">
        <f>INDEX(Venues!$B:$B,MATCH(O400,Venues!$A:$A,0))</f>
        <v>Sheikh Zayed Stadium</v>
      </c>
      <c r="U400" t="str">
        <f>INDEX(Venues!$C:$C,MATCH(O400,Venues!$A:$A,0))</f>
        <v>Abu Dhabi</v>
      </c>
      <c r="V400" t="str">
        <f>IF(L400&gt;0,L400&amp;" runs",IF(M400&gt;0,M400&amp;" wickets","-"))</f>
        <v>41 runs</v>
      </c>
      <c r="W400">
        <f>IF(G400=K400,1,0)</f>
        <v>1</v>
      </c>
      <c r="X400">
        <f>IF(L400&gt;0,L400,"")</f>
        <v>41</v>
      </c>
      <c r="Y400">
        <f>IF(X400="","",IF(X400&gt;Stats!$B$15,"Outlier",""))</f>
        <v/>
      </c>
      <c r="Z400" t="str">
        <f>P400&amp;" vs "&amp;Q400</f>
        <v>Kolkata Knight Riders vs Mumbai Indians</v>
      </c>
    </row>
    <row r="401" spans="1:26" x14ac:dyDescent="0.25">
      <c r="A401">
        <v>459</v>
      </c>
      <c r="B401">
        <v>2014</v>
      </c>
      <c r="C401" s="5">
        <v>41746</v>
      </c>
      <c r="D401" t="s">
        <v>172</v>
      </c>
      <c r="E401" t="s">
        <v>20</v>
      </c>
      <c r="F401" t="s">
        <v>46</v>
      </c>
      <c r="G401" t="s">
        <v>46</v>
      </c>
      <c r="H401" t="s">
        <v>173</v>
      </c>
      <c r="I401" t="s">
        <v>174</v>
      </c>
      <c r="J401">
        <v>0</v>
      </c>
      <c r="K401" t="s">
        <v>46</v>
      </c>
      <c r="L401">
        <v>0</v>
      </c>
      <c r="M401">
        <v>8</v>
      </c>
      <c r="N401" t="s">
        <v>330</v>
      </c>
      <c r="O401" t="s">
        <v>123</v>
      </c>
      <c r="P401" t="str">
        <f>INDEX(Teams!$B:$B,MATCH(E401,Teams!$A:$A,0))</f>
        <v>Delhi Capitals</v>
      </c>
      <c r="Q401" t="str">
        <f>INDEX(Teams!$B:$B,MATCH(F401,Teams!$A:$A,0))</f>
        <v>Royal Challengers Bangalore</v>
      </c>
      <c r="R401" t="str">
        <f>INDEX(Teams!$B:$B,MATCH(G401,Teams!$A:$A,0))</f>
        <v>Royal Challengers Bangalore</v>
      </c>
      <c r="S401" t="str">
        <f>IF(K401="","No result",INDEX(Teams!$B:$B,MATCH(K401,Teams!$A:$A,0)))</f>
        <v>Royal Challengers Bangalore</v>
      </c>
      <c r="T401" t="str">
        <f>INDEX(Venues!$B:$B,MATCH(O401,Venues!$A:$A,0))</f>
        <v>Sharjah Cricket Stadium</v>
      </c>
      <c r="U401" t="str">
        <f>INDEX(Venues!$C:$C,MATCH(O401,Venues!$A:$A,0))</f>
        <v>Sharjah</v>
      </c>
      <c r="V401" t="str">
        <f>IF(L401&gt;0,L401&amp;" runs",IF(M401&gt;0,M401&amp;" wickets","-"))</f>
        <v>8 wickets</v>
      </c>
      <c r="W401">
        <f>IF(G401=K401,1,0)</f>
        <v>1</v>
      </c>
      <c r="X401">
        <f>IF(L401&gt;0,L401,"")</f>
        <v/>
      </c>
      <c r="Y401">
        <f>IF(X401="","",IF(X401&gt;Stats!$B$15,"Outlier",""))</f>
        <v/>
      </c>
      <c r="Z401" t="str">
        <f>P401&amp;" vs "&amp;Q401</f>
        <v>Delhi Capitals vs Royal Challengers Bangalore</v>
      </c>
    </row>
    <row r="402" spans="1:26" x14ac:dyDescent="0.25">
      <c r="A402">
        <v>460</v>
      </c>
      <c r="B402">
        <v>2014</v>
      </c>
      <c r="C402" s="5">
        <v>41747</v>
      </c>
      <c r="D402" t="s">
        <v>172</v>
      </c>
      <c r="E402" t="s">
        <v>12</v>
      </c>
      <c r="F402" t="s">
        <v>26</v>
      </c>
      <c r="G402" t="s">
        <v>12</v>
      </c>
      <c r="H402" t="s">
        <v>176</v>
      </c>
      <c r="I402" t="s">
        <v>174</v>
      </c>
      <c r="J402">
        <v>0</v>
      </c>
      <c r="K402" t="s">
        <v>26</v>
      </c>
      <c r="L402">
        <v>0</v>
      </c>
      <c r="M402">
        <v>6</v>
      </c>
      <c r="N402" t="s">
        <v>331</v>
      </c>
      <c r="O402" t="s">
        <v>126</v>
      </c>
      <c r="P402" t="str">
        <f>INDEX(Teams!$B:$B,MATCH(E402,Teams!$A:$A,0))</f>
        <v>Chennai Super Kings</v>
      </c>
      <c r="Q402" t="str">
        <f>INDEX(Teams!$B:$B,MATCH(F402,Teams!$A:$A,0))</f>
        <v>Kings XI Punjab</v>
      </c>
      <c r="R402" t="str">
        <f>INDEX(Teams!$B:$B,MATCH(G402,Teams!$A:$A,0))</f>
        <v>Chennai Super Kings</v>
      </c>
      <c r="S402" t="str">
        <f>IF(K402="","No result",INDEX(Teams!$B:$B,MATCH(K402,Teams!$A:$A,0)))</f>
        <v>Kings XI Punjab</v>
      </c>
      <c r="T402" t="str">
        <f>INDEX(Venues!$B:$B,MATCH(O402,Venues!$A:$A,0))</f>
        <v>Sheikh Zayed Stadium</v>
      </c>
      <c r="U402" t="str">
        <f>INDEX(Venues!$C:$C,MATCH(O402,Venues!$A:$A,0))</f>
        <v>Abu Dhabi</v>
      </c>
      <c r="V402" t="str">
        <f>IF(L402&gt;0,L402&amp;" runs",IF(M402&gt;0,M402&amp;" wickets","-"))</f>
        <v>6 wickets</v>
      </c>
      <c r="W402">
        <f>IF(G402=K402,1,0)</f>
        <v>0</v>
      </c>
      <c r="X402">
        <f>IF(L402&gt;0,L402,"")</f>
        <v/>
      </c>
      <c r="Y402">
        <f>IF(X402="","",IF(X402&gt;Stats!$B$15,"Outlier",""))</f>
        <v/>
      </c>
      <c r="Z402" t="str">
        <f>P402&amp;" vs "&amp;Q402</f>
        <v>Chennai Super Kings vs Kings XI Punjab</v>
      </c>
    </row>
    <row r="403" spans="1:26" x14ac:dyDescent="0.25">
      <c r="A403">
        <v>461</v>
      </c>
      <c r="B403">
        <v>2014</v>
      </c>
      <c r="C403" s="5">
        <v>41747</v>
      </c>
      <c r="D403" t="s">
        <v>172</v>
      </c>
      <c r="E403" t="s">
        <v>49</v>
      </c>
      <c r="F403" t="s">
        <v>41</v>
      </c>
      <c r="G403" t="s">
        <v>41</v>
      </c>
      <c r="H403" t="s">
        <v>173</v>
      </c>
      <c r="I403" t="s">
        <v>174</v>
      </c>
      <c r="J403">
        <v>0</v>
      </c>
      <c r="K403" t="s">
        <v>41</v>
      </c>
      <c r="L403">
        <v>0</v>
      </c>
      <c r="M403">
        <v>4</v>
      </c>
      <c r="N403" t="s">
        <v>298</v>
      </c>
      <c r="O403" t="s">
        <v>126</v>
      </c>
      <c r="P403" t="str">
        <f>INDEX(Teams!$B:$B,MATCH(E403,Teams!$A:$A,0))</f>
        <v>Sunrisers Hyderabad</v>
      </c>
      <c r="Q403" t="str">
        <f>INDEX(Teams!$B:$B,MATCH(F403,Teams!$A:$A,0))</f>
        <v>Rajasthan Royals</v>
      </c>
      <c r="R403" t="str">
        <f>INDEX(Teams!$B:$B,MATCH(G403,Teams!$A:$A,0))</f>
        <v>Rajasthan Royals</v>
      </c>
      <c r="S403" t="str">
        <f>IF(K403="","No result",INDEX(Teams!$B:$B,MATCH(K403,Teams!$A:$A,0)))</f>
        <v>Rajasthan Royals</v>
      </c>
      <c r="T403" t="str">
        <f>INDEX(Venues!$B:$B,MATCH(O403,Venues!$A:$A,0))</f>
        <v>Sheikh Zayed Stadium</v>
      </c>
      <c r="U403" t="str">
        <f>INDEX(Venues!$C:$C,MATCH(O403,Venues!$A:$A,0))</f>
        <v>Abu Dhabi</v>
      </c>
      <c r="V403" t="str">
        <f>IF(L403&gt;0,L403&amp;" runs",IF(M403&gt;0,M403&amp;" wickets","-"))</f>
        <v>4 wickets</v>
      </c>
      <c r="W403">
        <f>IF(G403=K403,1,0)</f>
        <v>1</v>
      </c>
      <c r="X403">
        <f>IF(L403&gt;0,L403,"")</f>
        <v/>
      </c>
      <c r="Y403">
        <f>IF(X403="","",IF(X403&gt;Stats!$B$15,"Outlier",""))</f>
        <v/>
      </c>
      <c r="Z403" t="str">
        <f>P403&amp;" vs "&amp;Q403</f>
        <v>Sunrisers Hyderabad vs Rajasthan Royals</v>
      </c>
    </row>
    <row r="404" spans="1:26" x14ac:dyDescent="0.25">
      <c r="A404">
        <v>462</v>
      </c>
      <c r="B404">
        <v>2014</v>
      </c>
      <c r="C404" s="5">
        <v>41748</v>
      </c>
      <c r="D404" t="s">
        <v>172</v>
      </c>
      <c r="E404" t="s">
        <v>35</v>
      </c>
      <c r="F404" t="s">
        <v>46</v>
      </c>
      <c r="G404" t="s">
        <v>46</v>
      </c>
      <c r="H404" t="s">
        <v>173</v>
      </c>
      <c r="I404" t="s">
        <v>174</v>
      </c>
      <c r="J404">
        <v>0</v>
      </c>
      <c r="K404" t="s">
        <v>46</v>
      </c>
      <c r="L404">
        <v>0</v>
      </c>
      <c r="M404">
        <v>7</v>
      </c>
      <c r="N404" t="s">
        <v>327</v>
      </c>
      <c r="O404" t="s">
        <v>70</v>
      </c>
      <c r="P404" t="str">
        <f>INDEX(Teams!$B:$B,MATCH(E404,Teams!$A:$A,0))</f>
        <v>Mumbai Indians</v>
      </c>
      <c r="Q404" t="str">
        <f>INDEX(Teams!$B:$B,MATCH(F404,Teams!$A:$A,0))</f>
        <v>Royal Challengers Bangalore</v>
      </c>
      <c r="R404" t="str">
        <f>INDEX(Teams!$B:$B,MATCH(G404,Teams!$A:$A,0))</f>
        <v>Royal Challengers Bangalore</v>
      </c>
      <c r="S404" t="str">
        <f>IF(K404="","No result",INDEX(Teams!$B:$B,MATCH(K404,Teams!$A:$A,0)))</f>
        <v>Royal Challengers Bangalore</v>
      </c>
      <c r="T404" t="str">
        <f>INDEX(Venues!$B:$B,MATCH(O404,Venues!$A:$A,0))</f>
        <v>Dubai International Cricket Stadium</v>
      </c>
      <c r="U404" t="str">
        <f>INDEX(Venues!$C:$C,MATCH(O404,Venues!$A:$A,0))</f>
        <v>Dubai</v>
      </c>
      <c r="V404" t="str">
        <f>IF(L404&gt;0,L404&amp;" runs",IF(M404&gt;0,M404&amp;" wickets","-"))</f>
        <v>7 wickets</v>
      </c>
      <c r="W404">
        <f>IF(G404=K404,1,0)</f>
        <v>1</v>
      </c>
      <c r="X404">
        <f>IF(L404&gt;0,L404,"")</f>
        <v/>
      </c>
      <c r="Y404">
        <f>IF(X404="","",IF(X404&gt;Stats!$B$15,"Outlier",""))</f>
        <v/>
      </c>
      <c r="Z404" t="str">
        <f>P404&amp;" vs "&amp;Q404</f>
        <v>Mumbai Indians vs Royal Challengers Bangalore</v>
      </c>
    </row>
    <row r="405" spans="1:26" x14ac:dyDescent="0.25">
      <c r="A405">
        <v>463</v>
      </c>
      <c r="B405">
        <v>2014</v>
      </c>
      <c r="C405" s="5">
        <v>41748</v>
      </c>
      <c r="D405" t="s">
        <v>172</v>
      </c>
      <c r="E405" t="s">
        <v>32</v>
      </c>
      <c r="F405" t="s">
        <v>20</v>
      </c>
      <c r="G405" t="s">
        <v>32</v>
      </c>
      <c r="H405" t="s">
        <v>176</v>
      </c>
      <c r="I405" t="s">
        <v>174</v>
      </c>
      <c r="J405">
        <v>0</v>
      </c>
      <c r="K405" t="s">
        <v>20</v>
      </c>
      <c r="L405">
        <v>0</v>
      </c>
      <c r="M405">
        <v>4</v>
      </c>
      <c r="N405" t="s">
        <v>230</v>
      </c>
      <c r="O405" t="s">
        <v>70</v>
      </c>
      <c r="P405" t="str">
        <f>INDEX(Teams!$B:$B,MATCH(E405,Teams!$A:$A,0))</f>
        <v>Kolkata Knight Riders</v>
      </c>
      <c r="Q405" t="str">
        <f>INDEX(Teams!$B:$B,MATCH(F405,Teams!$A:$A,0))</f>
        <v>Delhi Capitals</v>
      </c>
      <c r="R405" t="str">
        <f>INDEX(Teams!$B:$B,MATCH(G405,Teams!$A:$A,0))</f>
        <v>Kolkata Knight Riders</v>
      </c>
      <c r="S405" t="str">
        <f>IF(K405="","No result",INDEX(Teams!$B:$B,MATCH(K405,Teams!$A:$A,0)))</f>
        <v>Delhi Capitals</v>
      </c>
      <c r="T405" t="str">
        <f>INDEX(Venues!$B:$B,MATCH(O405,Venues!$A:$A,0))</f>
        <v>Dubai International Cricket Stadium</v>
      </c>
      <c r="U405" t="str">
        <f>INDEX(Venues!$C:$C,MATCH(O405,Venues!$A:$A,0))</f>
        <v>Dubai</v>
      </c>
      <c r="V405" t="str">
        <f>IF(L405&gt;0,L405&amp;" runs",IF(M405&gt;0,M405&amp;" wickets","-"))</f>
        <v>4 wickets</v>
      </c>
      <c r="W405">
        <f>IF(G405=K405,1,0)</f>
        <v>0</v>
      </c>
      <c r="X405">
        <f>IF(L405&gt;0,L405,"")</f>
        <v/>
      </c>
      <c r="Y405">
        <f>IF(X405="","",IF(X405&gt;Stats!$B$15,"Outlier",""))</f>
        <v/>
      </c>
      <c r="Z405" t="str">
        <f>P405&amp;" vs "&amp;Q405</f>
        <v>Kolkata Knight Riders vs Delhi Capitals</v>
      </c>
    </row>
    <row r="406" spans="1:26" x14ac:dyDescent="0.25">
      <c r="A406">
        <v>464</v>
      </c>
      <c r="B406">
        <v>2014</v>
      </c>
      <c r="C406" s="5">
        <v>41749</v>
      </c>
      <c r="D406" t="s">
        <v>172</v>
      </c>
      <c r="E406" t="s">
        <v>41</v>
      </c>
      <c r="F406" t="s">
        <v>26</v>
      </c>
      <c r="G406" t="s">
        <v>26</v>
      </c>
      <c r="H406" t="s">
        <v>173</v>
      </c>
      <c r="I406" t="s">
        <v>174</v>
      </c>
      <c r="J406">
        <v>0</v>
      </c>
      <c r="K406" t="s">
        <v>26</v>
      </c>
      <c r="L406">
        <v>0</v>
      </c>
      <c r="M406">
        <v>7</v>
      </c>
      <c r="N406" t="s">
        <v>331</v>
      </c>
      <c r="O406" t="s">
        <v>123</v>
      </c>
      <c r="P406" t="str">
        <f>INDEX(Teams!$B:$B,MATCH(E406,Teams!$A:$A,0))</f>
        <v>Rajasthan Royals</v>
      </c>
      <c r="Q406" t="str">
        <f>INDEX(Teams!$B:$B,MATCH(F406,Teams!$A:$A,0))</f>
        <v>Kings XI Punjab</v>
      </c>
      <c r="R406" t="str">
        <f>INDEX(Teams!$B:$B,MATCH(G406,Teams!$A:$A,0))</f>
        <v>Kings XI Punjab</v>
      </c>
      <c r="S406" t="str">
        <f>IF(K406="","No result",INDEX(Teams!$B:$B,MATCH(K406,Teams!$A:$A,0)))</f>
        <v>Kings XI Punjab</v>
      </c>
      <c r="T406" t="str">
        <f>INDEX(Venues!$B:$B,MATCH(O406,Venues!$A:$A,0))</f>
        <v>Sharjah Cricket Stadium</v>
      </c>
      <c r="U406" t="str">
        <f>INDEX(Venues!$C:$C,MATCH(O406,Venues!$A:$A,0))</f>
        <v>Sharjah</v>
      </c>
      <c r="V406" t="str">
        <f>IF(L406&gt;0,L406&amp;" runs",IF(M406&gt;0,M406&amp;" wickets","-"))</f>
        <v>7 wickets</v>
      </c>
      <c r="W406">
        <f>IF(G406=K406,1,0)</f>
        <v>1</v>
      </c>
      <c r="X406">
        <f>IF(L406&gt;0,L406,"")</f>
        <v/>
      </c>
      <c r="Y406">
        <f>IF(X406="","",IF(X406&gt;Stats!$B$15,"Outlier",""))</f>
        <v/>
      </c>
      <c r="Z406" t="str">
        <f>P406&amp;" vs "&amp;Q406</f>
        <v>Rajasthan Royals vs Kings XI Punjab</v>
      </c>
    </row>
    <row r="407" spans="1:26" x14ac:dyDescent="0.25">
      <c r="A407">
        <v>465</v>
      </c>
      <c r="B407">
        <v>2014</v>
      </c>
      <c r="C407" s="5">
        <v>41750</v>
      </c>
      <c r="D407" t="s">
        <v>172</v>
      </c>
      <c r="E407" t="s">
        <v>12</v>
      </c>
      <c r="F407" t="s">
        <v>20</v>
      </c>
      <c r="G407" t="s">
        <v>12</v>
      </c>
      <c r="H407" t="s">
        <v>176</v>
      </c>
      <c r="I407" t="s">
        <v>174</v>
      </c>
      <c r="J407">
        <v>0</v>
      </c>
      <c r="K407" t="s">
        <v>12</v>
      </c>
      <c r="L407">
        <v>93</v>
      </c>
      <c r="M407">
        <v>0</v>
      </c>
      <c r="N407" t="s">
        <v>214</v>
      </c>
      <c r="O407" t="s">
        <v>126</v>
      </c>
      <c r="P407" t="str">
        <f>INDEX(Teams!$B:$B,MATCH(E407,Teams!$A:$A,0))</f>
        <v>Chennai Super Kings</v>
      </c>
      <c r="Q407" t="str">
        <f>INDEX(Teams!$B:$B,MATCH(F407,Teams!$A:$A,0))</f>
        <v>Delhi Capitals</v>
      </c>
      <c r="R407" t="str">
        <f>INDEX(Teams!$B:$B,MATCH(G407,Teams!$A:$A,0))</f>
        <v>Chennai Super Kings</v>
      </c>
      <c r="S407" t="str">
        <f>IF(K407="","No result",INDEX(Teams!$B:$B,MATCH(K407,Teams!$A:$A,0)))</f>
        <v>Chennai Super Kings</v>
      </c>
      <c r="T407" t="str">
        <f>INDEX(Venues!$B:$B,MATCH(O407,Venues!$A:$A,0))</f>
        <v>Sheikh Zayed Stadium</v>
      </c>
      <c r="U407" t="str">
        <f>INDEX(Venues!$C:$C,MATCH(O407,Venues!$A:$A,0))</f>
        <v>Abu Dhabi</v>
      </c>
      <c r="V407" t="str">
        <f>IF(L407&gt;0,L407&amp;" runs",IF(M407&gt;0,M407&amp;" wickets","-"))</f>
        <v>93 runs</v>
      </c>
      <c r="W407">
        <f>IF(G407=K407,1,0)</f>
        <v>1</v>
      </c>
      <c r="X407">
        <f>IF(L407&gt;0,L407,"")</f>
        <v>93</v>
      </c>
      <c r="Y407" t="str">
        <f>IF(X407="","",IF(X407&gt;Stats!$B$15,"Outlier",""))</f>
        <v>Outlier</v>
      </c>
      <c r="Z407" t="str">
        <f>P407&amp;" vs "&amp;Q407</f>
        <v>Chennai Super Kings vs Delhi Capitals</v>
      </c>
    </row>
    <row r="408" spans="1:26" x14ac:dyDescent="0.25">
      <c r="A408">
        <v>466</v>
      </c>
      <c r="B408">
        <v>2014</v>
      </c>
      <c r="C408" s="5">
        <v>41751</v>
      </c>
      <c r="D408" t="s">
        <v>172</v>
      </c>
      <c r="E408" t="s">
        <v>26</v>
      </c>
      <c r="F408" t="s">
        <v>49</v>
      </c>
      <c r="G408" t="s">
        <v>49</v>
      </c>
      <c r="H408" t="s">
        <v>173</v>
      </c>
      <c r="I408" t="s">
        <v>174</v>
      </c>
      <c r="J408">
        <v>0</v>
      </c>
      <c r="K408" t="s">
        <v>26</v>
      </c>
      <c r="L408">
        <v>72</v>
      </c>
      <c r="M408">
        <v>0</v>
      </c>
      <c r="N408" t="s">
        <v>331</v>
      </c>
      <c r="O408" t="s">
        <v>123</v>
      </c>
      <c r="P408" t="str">
        <f>INDEX(Teams!$B:$B,MATCH(E408,Teams!$A:$A,0))</f>
        <v>Kings XI Punjab</v>
      </c>
      <c r="Q408" t="str">
        <f>INDEX(Teams!$B:$B,MATCH(F408,Teams!$A:$A,0))</f>
        <v>Sunrisers Hyderabad</v>
      </c>
      <c r="R408" t="str">
        <f>INDEX(Teams!$B:$B,MATCH(G408,Teams!$A:$A,0))</f>
        <v>Sunrisers Hyderabad</v>
      </c>
      <c r="S408" t="str">
        <f>IF(K408="","No result",INDEX(Teams!$B:$B,MATCH(K408,Teams!$A:$A,0)))</f>
        <v>Kings XI Punjab</v>
      </c>
      <c r="T408" t="str">
        <f>INDEX(Venues!$B:$B,MATCH(O408,Venues!$A:$A,0))</f>
        <v>Sharjah Cricket Stadium</v>
      </c>
      <c r="U408" t="str">
        <f>INDEX(Venues!$C:$C,MATCH(O408,Venues!$A:$A,0))</f>
        <v>Sharjah</v>
      </c>
      <c r="V408" t="str">
        <f>IF(L408&gt;0,L408&amp;" runs",IF(M408&gt;0,M408&amp;" wickets","-"))</f>
        <v>72 runs</v>
      </c>
      <c r="W408">
        <f>IF(G408=K408,1,0)</f>
        <v>0</v>
      </c>
      <c r="X408">
        <f>IF(L408&gt;0,L408,"")</f>
        <v>72</v>
      </c>
      <c r="Y408">
        <f>IF(X408="","",IF(X408&gt;Stats!$B$15,"Outlier",""))</f>
        <v/>
      </c>
      <c r="Z408" t="str">
        <f>P408&amp;" vs "&amp;Q408</f>
        <v>Kings XI Punjab vs Sunrisers Hyderabad</v>
      </c>
    </row>
    <row r="409" spans="1:26" x14ac:dyDescent="0.25">
      <c r="A409">
        <v>467</v>
      </c>
      <c r="B409">
        <v>2014</v>
      </c>
      <c r="C409" s="5">
        <v>41752</v>
      </c>
      <c r="D409" t="s">
        <v>172</v>
      </c>
      <c r="E409" t="s">
        <v>12</v>
      </c>
      <c r="F409" t="s">
        <v>41</v>
      </c>
      <c r="G409" t="s">
        <v>41</v>
      </c>
      <c r="H409" t="s">
        <v>173</v>
      </c>
      <c r="I409" t="s">
        <v>174</v>
      </c>
      <c r="J409">
        <v>0</v>
      </c>
      <c r="K409" t="s">
        <v>12</v>
      </c>
      <c r="L409">
        <v>7</v>
      </c>
      <c r="M409">
        <v>0</v>
      </c>
      <c r="N409" t="s">
        <v>299</v>
      </c>
      <c r="O409" t="s">
        <v>70</v>
      </c>
      <c r="P409" t="str">
        <f>INDEX(Teams!$B:$B,MATCH(E409,Teams!$A:$A,0))</f>
        <v>Chennai Super Kings</v>
      </c>
      <c r="Q409" t="str">
        <f>INDEX(Teams!$B:$B,MATCH(F409,Teams!$A:$A,0))</f>
        <v>Rajasthan Royals</v>
      </c>
      <c r="R409" t="str">
        <f>INDEX(Teams!$B:$B,MATCH(G409,Teams!$A:$A,0))</f>
        <v>Rajasthan Royals</v>
      </c>
      <c r="S409" t="str">
        <f>IF(K409="","No result",INDEX(Teams!$B:$B,MATCH(K409,Teams!$A:$A,0)))</f>
        <v>Chennai Super Kings</v>
      </c>
      <c r="T409" t="str">
        <f>INDEX(Venues!$B:$B,MATCH(O409,Venues!$A:$A,0))</f>
        <v>Dubai International Cricket Stadium</v>
      </c>
      <c r="U409" t="str">
        <f>INDEX(Venues!$C:$C,MATCH(O409,Venues!$A:$A,0))</f>
        <v>Dubai</v>
      </c>
      <c r="V409" t="str">
        <f>IF(L409&gt;0,L409&amp;" runs",IF(M409&gt;0,M409&amp;" wickets","-"))</f>
        <v>7 runs</v>
      </c>
      <c r="W409">
        <f>IF(G409=K409,1,0)</f>
        <v>0</v>
      </c>
      <c r="X409">
        <f>IF(L409&gt;0,L409,"")</f>
        <v>7</v>
      </c>
      <c r="Y409">
        <f>IF(X409="","",IF(X409&gt;Stats!$B$15,"Outlier",""))</f>
        <v/>
      </c>
      <c r="Z409" t="str">
        <f>P409&amp;" vs "&amp;Q409</f>
        <v>Chennai Super Kings vs Rajasthan Royals</v>
      </c>
    </row>
    <row r="410" spans="1:26" x14ac:dyDescent="0.25">
      <c r="A410">
        <v>468</v>
      </c>
      <c r="B410">
        <v>2014</v>
      </c>
      <c r="C410" s="5">
        <v>41753</v>
      </c>
      <c r="D410" t="s">
        <v>172</v>
      </c>
      <c r="E410" t="s">
        <v>32</v>
      </c>
      <c r="F410" t="s">
        <v>46</v>
      </c>
      <c r="G410" t="s">
        <v>46</v>
      </c>
      <c r="H410" t="s">
        <v>173</v>
      </c>
      <c r="I410" t="s">
        <v>174</v>
      </c>
      <c r="J410">
        <v>0</v>
      </c>
      <c r="K410" t="s">
        <v>32</v>
      </c>
      <c r="L410">
        <v>2</v>
      </c>
      <c r="M410">
        <v>0</v>
      </c>
      <c r="N410" t="s">
        <v>332</v>
      </c>
      <c r="O410" t="s">
        <v>123</v>
      </c>
      <c r="P410" t="str">
        <f>INDEX(Teams!$B:$B,MATCH(E410,Teams!$A:$A,0))</f>
        <v>Kolkata Knight Riders</v>
      </c>
      <c r="Q410" t="str">
        <f>INDEX(Teams!$B:$B,MATCH(F410,Teams!$A:$A,0))</f>
        <v>Royal Challengers Bangalore</v>
      </c>
      <c r="R410" t="str">
        <f>INDEX(Teams!$B:$B,MATCH(G410,Teams!$A:$A,0))</f>
        <v>Royal Challengers Bangalore</v>
      </c>
      <c r="S410" t="str">
        <f>IF(K410="","No result",INDEX(Teams!$B:$B,MATCH(K410,Teams!$A:$A,0)))</f>
        <v>Kolkata Knight Riders</v>
      </c>
      <c r="T410" t="str">
        <f>INDEX(Venues!$B:$B,MATCH(O410,Venues!$A:$A,0))</f>
        <v>Sharjah Cricket Stadium</v>
      </c>
      <c r="U410" t="str">
        <f>INDEX(Venues!$C:$C,MATCH(O410,Venues!$A:$A,0))</f>
        <v>Sharjah</v>
      </c>
      <c r="V410" t="str">
        <f>IF(L410&gt;0,L410&amp;" runs",IF(M410&gt;0,M410&amp;" wickets","-"))</f>
        <v>2 runs</v>
      </c>
      <c r="W410">
        <f>IF(G410=K410,1,0)</f>
        <v>0</v>
      </c>
      <c r="X410">
        <f>IF(L410&gt;0,L410,"")</f>
        <v>2</v>
      </c>
      <c r="Y410">
        <f>IF(X410="","",IF(X410&gt;Stats!$B$15,"Outlier",""))</f>
        <v/>
      </c>
      <c r="Z410" t="str">
        <f>P410&amp;" vs "&amp;Q410</f>
        <v>Kolkata Knight Riders vs Royal Challengers Bangalore</v>
      </c>
    </row>
    <row r="411" spans="1:26" x14ac:dyDescent="0.25">
      <c r="A411">
        <v>469</v>
      </c>
      <c r="B411">
        <v>2014</v>
      </c>
      <c r="C411" s="5">
        <v>41754</v>
      </c>
      <c r="D411" t="s">
        <v>172</v>
      </c>
      <c r="E411" t="s">
        <v>49</v>
      </c>
      <c r="F411" t="s">
        <v>20</v>
      </c>
      <c r="G411" t="s">
        <v>49</v>
      </c>
      <c r="H411" t="s">
        <v>176</v>
      </c>
      <c r="I411" t="s">
        <v>174</v>
      </c>
      <c r="J411">
        <v>0</v>
      </c>
      <c r="K411" t="s">
        <v>49</v>
      </c>
      <c r="L411">
        <v>4</v>
      </c>
      <c r="M411">
        <v>0</v>
      </c>
      <c r="N411" t="s">
        <v>319</v>
      </c>
      <c r="O411" t="s">
        <v>70</v>
      </c>
      <c r="P411" t="str">
        <f>INDEX(Teams!$B:$B,MATCH(E411,Teams!$A:$A,0))</f>
        <v>Sunrisers Hyderabad</v>
      </c>
      <c r="Q411" t="str">
        <f>INDEX(Teams!$B:$B,MATCH(F411,Teams!$A:$A,0))</f>
        <v>Delhi Capitals</v>
      </c>
      <c r="R411" t="str">
        <f>INDEX(Teams!$B:$B,MATCH(G411,Teams!$A:$A,0))</f>
        <v>Sunrisers Hyderabad</v>
      </c>
      <c r="S411" t="str">
        <f>IF(K411="","No result",INDEX(Teams!$B:$B,MATCH(K411,Teams!$A:$A,0)))</f>
        <v>Sunrisers Hyderabad</v>
      </c>
      <c r="T411" t="str">
        <f>INDEX(Venues!$B:$B,MATCH(O411,Venues!$A:$A,0))</f>
        <v>Dubai International Cricket Stadium</v>
      </c>
      <c r="U411" t="str">
        <f>INDEX(Venues!$C:$C,MATCH(O411,Venues!$A:$A,0))</f>
        <v>Dubai</v>
      </c>
      <c r="V411" t="str">
        <f>IF(L411&gt;0,L411&amp;" runs",IF(M411&gt;0,M411&amp;" wickets","-"))</f>
        <v>4 runs</v>
      </c>
      <c r="W411">
        <f>IF(G411=K411,1,0)</f>
        <v>1</v>
      </c>
      <c r="X411">
        <f>IF(L411&gt;0,L411,"")</f>
        <v>4</v>
      </c>
      <c r="Y411">
        <f>IF(X411="","",IF(X411&gt;Stats!$B$15,"Outlier",""))</f>
        <v/>
      </c>
      <c r="Z411" t="str">
        <f>P411&amp;" vs "&amp;Q411</f>
        <v>Sunrisers Hyderabad vs Delhi Capitals</v>
      </c>
    </row>
    <row r="412" spans="1:26" x14ac:dyDescent="0.25">
      <c r="A412">
        <v>470</v>
      </c>
      <c r="B412">
        <v>2014</v>
      </c>
      <c r="C412" s="5">
        <v>41754</v>
      </c>
      <c r="D412" t="s">
        <v>172</v>
      </c>
      <c r="E412" t="s">
        <v>35</v>
      </c>
      <c r="F412" t="s">
        <v>12</v>
      </c>
      <c r="G412" t="s">
        <v>35</v>
      </c>
      <c r="H412" t="s">
        <v>176</v>
      </c>
      <c r="I412" t="s">
        <v>174</v>
      </c>
      <c r="J412">
        <v>0</v>
      </c>
      <c r="K412" t="s">
        <v>12</v>
      </c>
      <c r="L412">
        <v>0</v>
      </c>
      <c r="M412">
        <v>7</v>
      </c>
      <c r="N412" t="s">
        <v>333</v>
      </c>
      <c r="O412" t="s">
        <v>70</v>
      </c>
      <c r="P412" t="str">
        <f>INDEX(Teams!$B:$B,MATCH(E412,Teams!$A:$A,0))</f>
        <v>Mumbai Indians</v>
      </c>
      <c r="Q412" t="str">
        <f>INDEX(Teams!$B:$B,MATCH(F412,Teams!$A:$A,0))</f>
        <v>Chennai Super Kings</v>
      </c>
      <c r="R412" t="str">
        <f>INDEX(Teams!$B:$B,MATCH(G412,Teams!$A:$A,0))</f>
        <v>Mumbai Indians</v>
      </c>
      <c r="S412" t="str">
        <f>IF(K412="","No result",INDEX(Teams!$B:$B,MATCH(K412,Teams!$A:$A,0)))</f>
        <v>Chennai Super Kings</v>
      </c>
      <c r="T412" t="str">
        <f>INDEX(Venues!$B:$B,MATCH(O412,Venues!$A:$A,0))</f>
        <v>Dubai International Cricket Stadium</v>
      </c>
      <c r="U412" t="str">
        <f>INDEX(Venues!$C:$C,MATCH(O412,Venues!$A:$A,0))</f>
        <v>Dubai</v>
      </c>
      <c r="V412" t="str">
        <f>IF(L412&gt;0,L412&amp;" runs",IF(M412&gt;0,M412&amp;" wickets","-"))</f>
        <v>7 wickets</v>
      </c>
      <c r="W412">
        <f>IF(G412=K412,1,0)</f>
        <v>0</v>
      </c>
      <c r="X412">
        <f>IF(L412&gt;0,L412,"")</f>
        <v/>
      </c>
      <c r="Y412">
        <f>IF(X412="","",IF(X412&gt;Stats!$B$15,"Outlier",""))</f>
        <v/>
      </c>
      <c r="Z412" t="str">
        <f>P412&amp;" vs "&amp;Q412</f>
        <v>Mumbai Indians vs Chennai Super Kings</v>
      </c>
    </row>
    <row r="413" spans="1:26" x14ac:dyDescent="0.25">
      <c r="A413">
        <v>471</v>
      </c>
      <c r="B413">
        <v>2014</v>
      </c>
      <c r="C413" s="5">
        <v>41755</v>
      </c>
      <c r="D413" t="s">
        <v>172</v>
      </c>
      <c r="E413" t="s">
        <v>46</v>
      </c>
      <c r="F413" t="s">
        <v>41</v>
      </c>
      <c r="G413" t="s">
        <v>41</v>
      </c>
      <c r="H413" t="s">
        <v>173</v>
      </c>
      <c r="I413" t="s">
        <v>174</v>
      </c>
      <c r="J413">
        <v>0</v>
      </c>
      <c r="K413" t="s">
        <v>41</v>
      </c>
      <c r="L413">
        <v>0</v>
      </c>
      <c r="M413">
        <v>6</v>
      </c>
      <c r="N413" t="s">
        <v>334</v>
      </c>
      <c r="O413" t="s">
        <v>126</v>
      </c>
      <c r="P413" t="str">
        <f>INDEX(Teams!$B:$B,MATCH(E413,Teams!$A:$A,0))</f>
        <v>Royal Challengers Bangalore</v>
      </c>
      <c r="Q413" t="str">
        <f>INDEX(Teams!$B:$B,MATCH(F413,Teams!$A:$A,0))</f>
        <v>Rajasthan Royals</v>
      </c>
      <c r="R413" t="str">
        <f>INDEX(Teams!$B:$B,MATCH(G413,Teams!$A:$A,0))</f>
        <v>Rajasthan Royals</v>
      </c>
      <c r="S413" t="str">
        <f>IF(K413="","No result",INDEX(Teams!$B:$B,MATCH(K413,Teams!$A:$A,0)))</f>
        <v>Rajasthan Royals</v>
      </c>
      <c r="T413" t="str">
        <f>INDEX(Venues!$B:$B,MATCH(O413,Venues!$A:$A,0))</f>
        <v>Sheikh Zayed Stadium</v>
      </c>
      <c r="U413" t="str">
        <f>INDEX(Venues!$C:$C,MATCH(O413,Venues!$A:$A,0))</f>
        <v>Abu Dhabi</v>
      </c>
      <c r="V413" t="str">
        <f>IF(L413&gt;0,L413&amp;" runs",IF(M413&gt;0,M413&amp;" wickets","-"))</f>
        <v>6 wickets</v>
      </c>
      <c r="W413">
        <f>IF(G413=K413,1,0)</f>
        <v>1</v>
      </c>
      <c r="X413">
        <f>IF(L413&gt;0,L413,"")</f>
        <v/>
      </c>
      <c r="Y413">
        <f>IF(X413="","",IF(X413&gt;Stats!$B$15,"Outlier",""))</f>
        <v/>
      </c>
      <c r="Z413" t="str">
        <f>P413&amp;" vs "&amp;Q413</f>
        <v>Royal Challengers Bangalore vs Rajasthan Royals</v>
      </c>
    </row>
    <row r="414" spans="1:26" x14ac:dyDescent="0.25">
      <c r="A414">
        <v>472</v>
      </c>
      <c r="B414">
        <v>2014</v>
      </c>
      <c r="C414" s="5">
        <v>41755</v>
      </c>
      <c r="D414" t="s">
        <v>172</v>
      </c>
      <c r="E414" t="s">
        <v>26</v>
      </c>
      <c r="F414" t="s">
        <v>32</v>
      </c>
      <c r="G414" t="s">
        <v>32</v>
      </c>
      <c r="H414" t="s">
        <v>173</v>
      </c>
      <c r="I414" t="s">
        <v>174</v>
      </c>
      <c r="J414">
        <v>0</v>
      </c>
      <c r="K414" t="s">
        <v>26</v>
      </c>
      <c r="L414">
        <v>23</v>
      </c>
      <c r="M414">
        <v>0</v>
      </c>
      <c r="N414" t="s">
        <v>335</v>
      </c>
      <c r="O414" t="s">
        <v>126</v>
      </c>
      <c r="P414" t="str">
        <f>INDEX(Teams!$B:$B,MATCH(E414,Teams!$A:$A,0))</f>
        <v>Kings XI Punjab</v>
      </c>
      <c r="Q414" t="str">
        <f>INDEX(Teams!$B:$B,MATCH(F414,Teams!$A:$A,0))</f>
        <v>Kolkata Knight Riders</v>
      </c>
      <c r="R414" t="str">
        <f>INDEX(Teams!$B:$B,MATCH(G414,Teams!$A:$A,0))</f>
        <v>Kolkata Knight Riders</v>
      </c>
      <c r="S414" t="str">
        <f>IF(K414="","No result",INDEX(Teams!$B:$B,MATCH(K414,Teams!$A:$A,0)))</f>
        <v>Kings XI Punjab</v>
      </c>
      <c r="T414" t="str">
        <f>INDEX(Venues!$B:$B,MATCH(O414,Venues!$A:$A,0))</f>
        <v>Sheikh Zayed Stadium</v>
      </c>
      <c r="U414" t="str">
        <f>INDEX(Venues!$C:$C,MATCH(O414,Venues!$A:$A,0))</f>
        <v>Abu Dhabi</v>
      </c>
      <c r="V414" t="str">
        <f>IF(L414&gt;0,L414&amp;" runs",IF(M414&gt;0,M414&amp;" wickets","-"))</f>
        <v>23 runs</v>
      </c>
      <c r="W414">
        <f>IF(G414=K414,1,0)</f>
        <v>0</v>
      </c>
      <c r="X414">
        <f>IF(L414&gt;0,L414,"")</f>
        <v>23</v>
      </c>
      <c r="Y414">
        <f>IF(X414="","",IF(X414&gt;Stats!$B$15,"Outlier",""))</f>
        <v/>
      </c>
      <c r="Z414" t="str">
        <f>P414&amp;" vs "&amp;Q414</f>
        <v>Kings XI Punjab vs Kolkata Knight Riders</v>
      </c>
    </row>
    <row r="415" spans="1:26" x14ac:dyDescent="0.25">
      <c r="A415">
        <v>473</v>
      </c>
      <c r="B415">
        <v>2014</v>
      </c>
      <c r="C415" s="5">
        <v>41756</v>
      </c>
      <c r="D415" t="s">
        <v>172</v>
      </c>
      <c r="E415" t="s">
        <v>35</v>
      </c>
      <c r="F415" t="s">
        <v>20</v>
      </c>
      <c r="G415" t="s">
        <v>35</v>
      </c>
      <c r="H415" t="s">
        <v>176</v>
      </c>
      <c r="I415" t="s">
        <v>174</v>
      </c>
      <c r="J415">
        <v>0</v>
      </c>
      <c r="K415" t="s">
        <v>20</v>
      </c>
      <c r="L415">
        <v>0</v>
      </c>
      <c r="M415">
        <v>6</v>
      </c>
      <c r="N415" t="s">
        <v>259</v>
      </c>
      <c r="O415" t="s">
        <v>123</v>
      </c>
      <c r="P415" t="str">
        <f>INDEX(Teams!$B:$B,MATCH(E415,Teams!$A:$A,0))</f>
        <v>Mumbai Indians</v>
      </c>
      <c r="Q415" t="str">
        <f>INDEX(Teams!$B:$B,MATCH(F415,Teams!$A:$A,0))</f>
        <v>Delhi Capitals</v>
      </c>
      <c r="R415" t="str">
        <f>INDEX(Teams!$B:$B,MATCH(G415,Teams!$A:$A,0))</f>
        <v>Mumbai Indians</v>
      </c>
      <c r="S415" t="str">
        <f>IF(K415="","No result",INDEX(Teams!$B:$B,MATCH(K415,Teams!$A:$A,0)))</f>
        <v>Delhi Capitals</v>
      </c>
      <c r="T415" t="str">
        <f>INDEX(Venues!$B:$B,MATCH(O415,Venues!$A:$A,0))</f>
        <v>Sharjah Cricket Stadium</v>
      </c>
      <c r="U415" t="str">
        <f>INDEX(Venues!$C:$C,MATCH(O415,Venues!$A:$A,0))</f>
        <v>Sharjah</v>
      </c>
      <c r="V415" t="str">
        <f>IF(L415&gt;0,L415&amp;" runs",IF(M415&gt;0,M415&amp;" wickets","-"))</f>
        <v>6 wickets</v>
      </c>
      <c r="W415">
        <f>IF(G415=K415,1,0)</f>
        <v>0</v>
      </c>
      <c r="X415">
        <f>IF(L415&gt;0,L415,"")</f>
        <v/>
      </c>
      <c r="Y415">
        <f>IF(X415="","",IF(X415&gt;Stats!$B$15,"Outlier",""))</f>
        <v/>
      </c>
      <c r="Z415" t="str">
        <f>P415&amp;" vs "&amp;Q415</f>
        <v>Mumbai Indians vs Delhi Capitals</v>
      </c>
    </row>
    <row r="416" spans="1:26" x14ac:dyDescent="0.25">
      <c r="A416">
        <v>474</v>
      </c>
      <c r="B416">
        <v>2014</v>
      </c>
      <c r="C416" s="5">
        <v>41756</v>
      </c>
      <c r="D416" t="s">
        <v>172</v>
      </c>
      <c r="E416" t="s">
        <v>49</v>
      </c>
      <c r="F416" t="s">
        <v>12</v>
      </c>
      <c r="G416" t="s">
        <v>49</v>
      </c>
      <c r="H416" t="s">
        <v>176</v>
      </c>
      <c r="I416" t="s">
        <v>174</v>
      </c>
      <c r="J416">
        <v>0</v>
      </c>
      <c r="K416" t="s">
        <v>12</v>
      </c>
      <c r="L416">
        <v>0</v>
      </c>
      <c r="M416">
        <v>5</v>
      </c>
      <c r="N416" t="s">
        <v>238</v>
      </c>
      <c r="O416" t="s">
        <v>123</v>
      </c>
      <c r="P416" t="str">
        <f>INDEX(Teams!$B:$B,MATCH(E416,Teams!$A:$A,0))</f>
        <v>Sunrisers Hyderabad</v>
      </c>
      <c r="Q416" t="str">
        <f>INDEX(Teams!$B:$B,MATCH(F416,Teams!$A:$A,0))</f>
        <v>Chennai Super Kings</v>
      </c>
      <c r="R416" t="str">
        <f>INDEX(Teams!$B:$B,MATCH(G416,Teams!$A:$A,0))</f>
        <v>Sunrisers Hyderabad</v>
      </c>
      <c r="S416" t="str">
        <f>IF(K416="","No result",INDEX(Teams!$B:$B,MATCH(K416,Teams!$A:$A,0)))</f>
        <v>Chennai Super Kings</v>
      </c>
      <c r="T416" t="str">
        <f>INDEX(Venues!$B:$B,MATCH(O416,Venues!$A:$A,0))</f>
        <v>Sharjah Cricket Stadium</v>
      </c>
      <c r="U416" t="str">
        <f>INDEX(Venues!$C:$C,MATCH(O416,Venues!$A:$A,0))</f>
        <v>Sharjah</v>
      </c>
      <c r="V416" t="str">
        <f>IF(L416&gt;0,L416&amp;" runs",IF(M416&gt;0,M416&amp;" wickets","-"))</f>
        <v>5 wickets</v>
      </c>
      <c r="W416">
        <f>IF(G416=K416,1,0)</f>
        <v>0</v>
      </c>
      <c r="X416">
        <f>IF(L416&gt;0,L416,"")</f>
        <v/>
      </c>
      <c r="Y416">
        <f>IF(X416="","",IF(X416&gt;Stats!$B$15,"Outlier",""))</f>
        <v/>
      </c>
      <c r="Z416" t="str">
        <f>P416&amp;" vs "&amp;Q416</f>
        <v>Sunrisers Hyderabad vs Chennai Super Kings</v>
      </c>
    </row>
    <row r="417" spans="1:26" x14ac:dyDescent="0.25">
      <c r="A417">
        <v>475</v>
      </c>
      <c r="B417">
        <v>2014</v>
      </c>
      <c r="C417" s="5">
        <v>41757</v>
      </c>
      <c r="D417" t="s">
        <v>172</v>
      </c>
      <c r="E417" t="s">
        <v>46</v>
      </c>
      <c r="F417" t="s">
        <v>26</v>
      </c>
      <c r="G417" t="s">
        <v>26</v>
      </c>
      <c r="H417" t="s">
        <v>173</v>
      </c>
      <c r="I417" t="s">
        <v>174</v>
      </c>
      <c r="J417">
        <v>0</v>
      </c>
      <c r="K417" t="s">
        <v>26</v>
      </c>
      <c r="L417">
        <v>0</v>
      </c>
      <c r="M417">
        <v>5</v>
      </c>
      <c r="N417" t="s">
        <v>335</v>
      </c>
      <c r="O417" t="s">
        <v>70</v>
      </c>
      <c r="P417" t="str">
        <f>INDEX(Teams!$B:$B,MATCH(E417,Teams!$A:$A,0))</f>
        <v>Royal Challengers Bangalore</v>
      </c>
      <c r="Q417" t="str">
        <f>INDEX(Teams!$B:$B,MATCH(F417,Teams!$A:$A,0))</f>
        <v>Kings XI Punjab</v>
      </c>
      <c r="R417" t="str">
        <f>INDEX(Teams!$B:$B,MATCH(G417,Teams!$A:$A,0))</f>
        <v>Kings XI Punjab</v>
      </c>
      <c r="S417" t="str">
        <f>IF(K417="","No result",INDEX(Teams!$B:$B,MATCH(K417,Teams!$A:$A,0)))</f>
        <v>Kings XI Punjab</v>
      </c>
      <c r="T417" t="str">
        <f>INDEX(Venues!$B:$B,MATCH(O417,Venues!$A:$A,0))</f>
        <v>Dubai International Cricket Stadium</v>
      </c>
      <c r="U417" t="str">
        <f>INDEX(Venues!$C:$C,MATCH(O417,Venues!$A:$A,0))</f>
        <v>Dubai</v>
      </c>
      <c r="V417" t="str">
        <f>IF(L417&gt;0,L417&amp;" runs",IF(M417&gt;0,M417&amp;" wickets","-"))</f>
        <v>5 wickets</v>
      </c>
      <c r="W417">
        <f>IF(G417=K417,1,0)</f>
        <v>1</v>
      </c>
      <c r="X417">
        <f>IF(L417&gt;0,L417,"")</f>
        <v/>
      </c>
      <c r="Y417">
        <f>IF(X417="","",IF(X417&gt;Stats!$B$15,"Outlier",""))</f>
        <v/>
      </c>
      <c r="Z417" t="str">
        <f>P417&amp;" vs "&amp;Q417</f>
        <v>Royal Challengers Bangalore vs Kings XI Punjab</v>
      </c>
    </row>
    <row r="418" spans="1:26" x14ac:dyDescent="0.25">
      <c r="A418">
        <v>476</v>
      </c>
      <c r="B418">
        <v>2014</v>
      </c>
      <c r="C418" s="5">
        <v>41758</v>
      </c>
      <c r="D418" t="s">
        <v>172</v>
      </c>
      <c r="E418" t="s">
        <v>41</v>
      </c>
      <c r="F418" t="s">
        <v>32</v>
      </c>
      <c r="G418" t="s">
        <v>41</v>
      </c>
      <c r="H418" t="s">
        <v>176</v>
      </c>
      <c r="I418" t="s">
        <v>224</v>
      </c>
      <c r="J418">
        <v>0</v>
      </c>
      <c r="K418" t="s">
        <v>41</v>
      </c>
      <c r="L418">
        <v>0</v>
      </c>
      <c r="M418">
        <v>0</v>
      </c>
      <c r="N418" t="s">
        <v>320</v>
      </c>
      <c r="O418" t="s">
        <v>126</v>
      </c>
      <c r="P418" t="str">
        <f>INDEX(Teams!$B:$B,MATCH(E418,Teams!$A:$A,0))</f>
        <v>Rajasthan Royals</v>
      </c>
      <c r="Q418" t="str">
        <f>INDEX(Teams!$B:$B,MATCH(F418,Teams!$A:$A,0))</f>
        <v>Kolkata Knight Riders</v>
      </c>
      <c r="R418" t="str">
        <f>INDEX(Teams!$B:$B,MATCH(G418,Teams!$A:$A,0))</f>
        <v>Rajasthan Royals</v>
      </c>
      <c r="S418" t="str">
        <f>IF(K418="","No result",INDEX(Teams!$B:$B,MATCH(K418,Teams!$A:$A,0)))</f>
        <v>Rajasthan Royals</v>
      </c>
      <c r="T418" t="str">
        <f>INDEX(Venues!$B:$B,MATCH(O418,Venues!$A:$A,0))</f>
        <v>Sheikh Zayed Stadium</v>
      </c>
      <c r="U418" t="str">
        <f>INDEX(Venues!$C:$C,MATCH(O418,Venues!$A:$A,0))</f>
        <v>Abu Dhabi</v>
      </c>
      <c r="V418" t="str">
        <f>IF(L418&gt;0,L418&amp;" runs",IF(M418&gt;0,M418&amp;" wickets","-"))</f>
        <v>-</v>
      </c>
      <c r="W418">
        <f>IF(G418=K418,1,0)</f>
        <v>1</v>
      </c>
      <c r="X418">
        <f>IF(L418&gt;0,L418,"")</f>
        <v/>
      </c>
      <c r="Y418">
        <f>IF(X418="","",IF(X418&gt;Stats!$B$15,"Outlier",""))</f>
        <v/>
      </c>
      <c r="Z418" t="str">
        <f>P418&amp;" vs "&amp;Q418</f>
        <v>Rajasthan Royals vs Kolkata Knight Riders</v>
      </c>
    </row>
    <row r="419" spans="1:26" x14ac:dyDescent="0.25">
      <c r="A419">
        <v>477</v>
      </c>
      <c r="B419">
        <v>2014</v>
      </c>
      <c r="C419" s="5">
        <v>41759</v>
      </c>
      <c r="D419" t="s">
        <v>172</v>
      </c>
      <c r="E419" t="s">
        <v>49</v>
      </c>
      <c r="F419" t="s">
        <v>35</v>
      </c>
      <c r="G419" t="s">
        <v>35</v>
      </c>
      <c r="H419" t="s">
        <v>173</v>
      </c>
      <c r="I419" t="s">
        <v>174</v>
      </c>
      <c r="J419">
        <v>0</v>
      </c>
      <c r="K419" t="s">
        <v>49</v>
      </c>
      <c r="L419">
        <v>15</v>
      </c>
      <c r="M419">
        <v>0</v>
      </c>
      <c r="N419" t="s">
        <v>336</v>
      </c>
      <c r="O419" t="s">
        <v>70</v>
      </c>
      <c r="P419" t="str">
        <f>INDEX(Teams!$B:$B,MATCH(E419,Teams!$A:$A,0))</f>
        <v>Sunrisers Hyderabad</v>
      </c>
      <c r="Q419" t="str">
        <f>INDEX(Teams!$B:$B,MATCH(F419,Teams!$A:$A,0))</f>
        <v>Mumbai Indians</v>
      </c>
      <c r="R419" t="str">
        <f>INDEX(Teams!$B:$B,MATCH(G419,Teams!$A:$A,0))</f>
        <v>Mumbai Indians</v>
      </c>
      <c r="S419" t="str">
        <f>IF(K419="","No result",INDEX(Teams!$B:$B,MATCH(K419,Teams!$A:$A,0)))</f>
        <v>Sunrisers Hyderabad</v>
      </c>
      <c r="T419" t="str">
        <f>INDEX(Venues!$B:$B,MATCH(O419,Venues!$A:$A,0))</f>
        <v>Dubai International Cricket Stadium</v>
      </c>
      <c r="U419" t="str">
        <f>INDEX(Venues!$C:$C,MATCH(O419,Venues!$A:$A,0))</f>
        <v>Dubai</v>
      </c>
      <c r="V419" t="str">
        <f>IF(L419&gt;0,L419&amp;" runs",IF(M419&gt;0,M419&amp;" wickets","-"))</f>
        <v>15 runs</v>
      </c>
      <c r="W419">
        <f>IF(G419=K419,1,0)</f>
        <v>0</v>
      </c>
      <c r="X419">
        <f>IF(L419&gt;0,L419,"")</f>
        <v>15</v>
      </c>
      <c r="Y419">
        <f>IF(X419="","",IF(X419&gt;Stats!$B$15,"Outlier",""))</f>
        <v/>
      </c>
      <c r="Z419" t="str">
        <f>P419&amp;" vs "&amp;Q419</f>
        <v>Sunrisers Hyderabad vs Mumbai Indians</v>
      </c>
    </row>
    <row r="420" spans="1:26" x14ac:dyDescent="0.25">
      <c r="A420">
        <v>478</v>
      </c>
      <c r="B420">
        <v>2014</v>
      </c>
      <c r="C420" s="5">
        <v>41761</v>
      </c>
      <c r="D420" t="s">
        <v>172</v>
      </c>
      <c r="E420" t="s">
        <v>12</v>
      </c>
      <c r="F420" t="s">
        <v>32</v>
      </c>
      <c r="G420" t="s">
        <v>12</v>
      </c>
      <c r="H420" t="s">
        <v>176</v>
      </c>
      <c r="I420" t="s">
        <v>174</v>
      </c>
      <c r="J420">
        <v>0</v>
      </c>
      <c r="K420" t="s">
        <v>12</v>
      </c>
      <c r="L420">
        <v>34</v>
      </c>
      <c r="M420">
        <v>0</v>
      </c>
      <c r="N420" t="s">
        <v>299</v>
      </c>
      <c r="O420" t="s">
        <v>86</v>
      </c>
      <c r="P420" t="str">
        <f>INDEX(Teams!$B:$B,MATCH(E420,Teams!$A:$A,0))</f>
        <v>Chennai Super Kings</v>
      </c>
      <c r="Q420" t="str">
        <f>INDEX(Teams!$B:$B,MATCH(F420,Teams!$A:$A,0))</f>
        <v>Kolkata Knight Riders</v>
      </c>
      <c r="R420" t="str">
        <f>INDEX(Teams!$B:$B,MATCH(G420,Teams!$A:$A,0))</f>
        <v>Chennai Super Kings</v>
      </c>
      <c r="S420" t="str">
        <f>IF(K420="","No result",INDEX(Teams!$B:$B,MATCH(K420,Teams!$A:$A,0)))</f>
        <v>Chennai Super Kings</v>
      </c>
      <c r="T420" t="str">
        <f>INDEX(Venues!$B:$B,MATCH(O420,Venues!$A:$A,0))</f>
        <v>JSCA International Stadium Complex</v>
      </c>
      <c r="U420" t="str">
        <f>INDEX(Venues!$C:$C,MATCH(O420,Venues!$A:$A,0))</f>
        <v>Ranchi</v>
      </c>
      <c r="V420" t="str">
        <f>IF(L420&gt;0,L420&amp;" runs",IF(M420&gt;0,M420&amp;" wickets","-"))</f>
        <v>34 runs</v>
      </c>
      <c r="W420">
        <f>IF(G420=K420,1,0)</f>
        <v>1</v>
      </c>
      <c r="X420">
        <f>IF(L420&gt;0,L420,"")</f>
        <v>34</v>
      </c>
      <c r="Y420">
        <f>IF(X420="","",IF(X420&gt;Stats!$B$15,"Outlier",""))</f>
        <v/>
      </c>
      <c r="Z420" t="str">
        <f>P420&amp;" vs "&amp;Q420</f>
        <v>Chennai Super Kings vs Kolkata Knight Riders</v>
      </c>
    </row>
    <row r="421" spans="1:26" x14ac:dyDescent="0.25">
      <c r="A421">
        <v>479</v>
      </c>
      <c r="B421">
        <v>2014</v>
      </c>
      <c r="C421" s="5">
        <v>41762</v>
      </c>
      <c r="D421" t="s">
        <v>172</v>
      </c>
      <c r="E421" t="s">
        <v>26</v>
      </c>
      <c r="F421" t="s">
        <v>35</v>
      </c>
      <c r="G421" t="s">
        <v>26</v>
      </c>
      <c r="H421" t="s">
        <v>176</v>
      </c>
      <c r="I421" t="s">
        <v>174</v>
      </c>
      <c r="J421">
        <v>0</v>
      </c>
      <c r="K421" t="s">
        <v>35</v>
      </c>
      <c r="L421">
        <v>0</v>
      </c>
      <c r="M421">
        <v>5</v>
      </c>
      <c r="N421" t="s">
        <v>337</v>
      </c>
      <c r="O421" t="s">
        <v>138</v>
      </c>
      <c r="P421" t="str">
        <f>INDEX(Teams!$B:$B,MATCH(E421,Teams!$A:$A,0))</f>
        <v>Kings XI Punjab</v>
      </c>
      <c r="Q421" t="str">
        <f>INDEX(Teams!$B:$B,MATCH(F421,Teams!$A:$A,0))</f>
        <v>Mumbai Indians</v>
      </c>
      <c r="R421" t="str">
        <f>INDEX(Teams!$B:$B,MATCH(G421,Teams!$A:$A,0))</f>
        <v>Kings XI Punjab</v>
      </c>
      <c r="S421" t="str">
        <f>IF(K421="","No result",INDEX(Teams!$B:$B,MATCH(K421,Teams!$A:$A,0)))</f>
        <v>Mumbai Indians</v>
      </c>
      <c r="T421" t="str">
        <f>INDEX(Venues!$B:$B,MATCH(O421,Venues!$A:$A,0))</f>
        <v>Wankhede Stadium</v>
      </c>
      <c r="U421" t="str">
        <f>INDEX(Venues!$C:$C,MATCH(O421,Venues!$A:$A,0))</f>
        <v>Mumbai</v>
      </c>
      <c r="V421" t="str">
        <f>IF(L421&gt;0,L421&amp;" runs",IF(M421&gt;0,M421&amp;" wickets","-"))</f>
        <v>5 wickets</v>
      </c>
      <c r="W421">
        <f>IF(G421=K421,1,0)</f>
        <v>0</v>
      </c>
      <c r="X421">
        <f>IF(L421&gt;0,L421,"")</f>
        <v/>
      </c>
      <c r="Y421">
        <f>IF(X421="","",IF(X421&gt;Stats!$B$15,"Outlier",""))</f>
        <v/>
      </c>
      <c r="Z421" t="str">
        <f>P421&amp;" vs "&amp;Q421</f>
        <v>Kings XI Punjab vs Mumbai Indians</v>
      </c>
    </row>
    <row r="422" spans="1:26" x14ac:dyDescent="0.25">
      <c r="A422">
        <v>480</v>
      </c>
      <c r="B422">
        <v>2014</v>
      </c>
      <c r="C422" s="5">
        <v>41762</v>
      </c>
      <c r="D422" t="s">
        <v>172</v>
      </c>
      <c r="E422" t="s">
        <v>20</v>
      </c>
      <c r="F422" t="s">
        <v>41</v>
      </c>
      <c r="G422" t="s">
        <v>41</v>
      </c>
      <c r="H422" t="s">
        <v>173</v>
      </c>
      <c r="I422" t="s">
        <v>174</v>
      </c>
      <c r="J422">
        <v>0</v>
      </c>
      <c r="K422" t="s">
        <v>41</v>
      </c>
      <c r="L422">
        <v>0</v>
      </c>
      <c r="M422">
        <v>7</v>
      </c>
      <c r="N422" t="s">
        <v>338</v>
      </c>
      <c r="O422" t="s">
        <v>75</v>
      </c>
      <c r="P422" t="str">
        <f>INDEX(Teams!$B:$B,MATCH(E422,Teams!$A:$A,0))</f>
        <v>Delhi Capitals</v>
      </c>
      <c r="Q422" t="str">
        <f>INDEX(Teams!$B:$B,MATCH(F422,Teams!$A:$A,0))</f>
        <v>Rajasthan Royals</v>
      </c>
      <c r="R422" t="str">
        <f>INDEX(Teams!$B:$B,MATCH(G422,Teams!$A:$A,0))</f>
        <v>Rajasthan Royals</v>
      </c>
      <c r="S422" t="str">
        <f>IF(K422="","No result",INDEX(Teams!$B:$B,MATCH(K422,Teams!$A:$A,0)))</f>
        <v>Rajasthan Royals</v>
      </c>
      <c r="T422" t="str">
        <f>INDEX(Venues!$B:$B,MATCH(O422,Venues!$A:$A,0))</f>
        <v>Feroz Shah Kotla</v>
      </c>
      <c r="U422" t="str">
        <f>INDEX(Venues!$C:$C,MATCH(O422,Venues!$A:$A,0))</f>
        <v>Delhi</v>
      </c>
      <c r="V422" t="str">
        <f>IF(L422&gt;0,L422&amp;" runs",IF(M422&gt;0,M422&amp;" wickets","-"))</f>
        <v>7 wickets</v>
      </c>
      <c r="W422">
        <f>IF(G422=K422,1,0)</f>
        <v>1</v>
      </c>
      <c r="X422">
        <f>IF(L422&gt;0,L422,"")</f>
        <v/>
      </c>
      <c r="Y422">
        <f>IF(X422="","",IF(X422&gt;Stats!$B$15,"Outlier",""))</f>
        <v/>
      </c>
      <c r="Z422" t="str">
        <f>P422&amp;" vs "&amp;Q422</f>
        <v>Delhi Capitals vs Rajasthan Royals</v>
      </c>
    </row>
    <row r="423" spans="1:26" x14ac:dyDescent="0.25">
      <c r="A423">
        <v>481</v>
      </c>
      <c r="B423">
        <v>2014</v>
      </c>
      <c r="C423" s="5">
        <v>41763</v>
      </c>
      <c r="D423" t="s">
        <v>172</v>
      </c>
      <c r="E423" t="s">
        <v>49</v>
      </c>
      <c r="F423" t="s">
        <v>46</v>
      </c>
      <c r="G423" t="s">
        <v>46</v>
      </c>
      <c r="H423" t="s">
        <v>173</v>
      </c>
      <c r="I423" t="s">
        <v>174</v>
      </c>
      <c r="J423">
        <v>0</v>
      </c>
      <c r="K423" t="s">
        <v>46</v>
      </c>
      <c r="L423">
        <v>0</v>
      </c>
      <c r="M423">
        <v>4</v>
      </c>
      <c r="N423" t="s">
        <v>223</v>
      </c>
      <c r="O423" t="s">
        <v>92</v>
      </c>
      <c r="P423" t="str">
        <f>INDEX(Teams!$B:$B,MATCH(E423,Teams!$A:$A,0))</f>
        <v>Sunrisers Hyderabad</v>
      </c>
      <c r="Q423" t="str">
        <f>INDEX(Teams!$B:$B,MATCH(F423,Teams!$A:$A,0))</f>
        <v>Royal Challengers Bangalore</v>
      </c>
      <c r="R423" t="str">
        <f>INDEX(Teams!$B:$B,MATCH(G423,Teams!$A:$A,0))</f>
        <v>Royal Challengers Bangalore</v>
      </c>
      <c r="S423" t="str">
        <f>IF(K423="","No result",INDEX(Teams!$B:$B,MATCH(K423,Teams!$A:$A,0)))</f>
        <v>Royal Challengers Bangalore</v>
      </c>
      <c r="T423" t="str">
        <f>INDEX(Venues!$B:$B,MATCH(O423,Venues!$A:$A,0))</f>
        <v>M Chinnaswamy Stadium</v>
      </c>
      <c r="U423" t="str">
        <f>INDEX(Venues!$C:$C,MATCH(O423,Venues!$A:$A,0))</f>
        <v>Bangalore</v>
      </c>
      <c r="V423" t="str">
        <f>IF(L423&gt;0,L423&amp;" runs",IF(M423&gt;0,M423&amp;" wickets","-"))</f>
        <v>4 wickets</v>
      </c>
      <c r="W423">
        <f>IF(G423=K423,1,0)</f>
        <v>1</v>
      </c>
      <c r="X423">
        <f>IF(L423&gt;0,L423,"")</f>
        <v/>
      </c>
      <c r="Y423">
        <f>IF(X423="","",IF(X423&gt;Stats!$B$15,"Outlier",""))</f>
        <v/>
      </c>
      <c r="Z423" t="str">
        <f>P423&amp;" vs "&amp;Q423</f>
        <v>Sunrisers Hyderabad vs Royal Challengers Bangalore</v>
      </c>
    </row>
    <row r="424" spans="1:26" x14ac:dyDescent="0.25">
      <c r="A424">
        <v>482</v>
      </c>
      <c r="B424">
        <v>2014</v>
      </c>
      <c r="C424" s="5">
        <v>41764</v>
      </c>
      <c r="D424" t="s">
        <v>172</v>
      </c>
      <c r="E424" t="s">
        <v>41</v>
      </c>
      <c r="F424" t="s">
        <v>32</v>
      </c>
      <c r="G424" t="s">
        <v>32</v>
      </c>
      <c r="H424" t="s">
        <v>173</v>
      </c>
      <c r="I424" t="s">
        <v>174</v>
      </c>
      <c r="J424">
        <v>0</v>
      </c>
      <c r="K424" t="s">
        <v>41</v>
      </c>
      <c r="L424">
        <v>10</v>
      </c>
      <c r="M424">
        <v>0</v>
      </c>
      <c r="N424" t="s">
        <v>334</v>
      </c>
      <c r="O424" t="s">
        <v>113</v>
      </c>
      <c r="P424" t="str">
        <f>INDEX(Teams!$B:$B,MATCH(E424,Teams!$A:$A,0))</f>
        <v>Rajasthan Royals</v>
      </c>
      <c r="Q424" t="str">
        <f>INDEX(Teams!$B:$B,MATCH(F424,Teams!$A:$A,0))</f>
        <v>Kolkata Knight Riders</v>
      </c>
      <c r="R424" t="str">
        <f>INDEX(Teams!$B:$B,MATCH(G424,Teams!$A:$A,0))</f>
        <v>Kolkata Knight Riders</v>
      </c>
      <c r="S424" t="str">
        <f>IF(K424="","No result",INDEX(Teams!$B:$B,MATCH(K424,Teams!$A:$A,0)))</f>
        <v>Rajasthan Royals</v>
      </c>
      <c r="T424" t="str">
        <f>INDEX(Venues!$B:$B,MATCH(O424,Venues!$A:$A,0))</f>
        <v>Sardar Patel Stadium</v>
      </c>
      <c r="U424" t="str">
        <f>INDEX(Venues!$C:$C,MATCH(O424,Venues!$A:$A,0))</f>
        <v>Ahmedabad</v>
      </c>
      <c r="V424" t="str">
        <f>IF(L424&gt;0,L424&amp;" runs",IF(M424&gt;0,M424&amp;" wickets","-"))</f>
        <v>10 runs</v>
      </c>
      <c r="W424">
        <f>IF(G424=K424,1,0)</f>
        <v>0</v>
      </c>
      <c r="X424">
        <f>IF(L424&gt;0,L424,"")</f>
        <v>10</v>
      </c>
      <c r="Y424">
        <f>IF(X424="","",IF(X424&gt;Stats!$B$15,"Outlier",""))</f>
        <v/>
      </c>
      <c r="Z424" t="str">
        <f>P424&amp;" vs "&amp;Q424</f>
        <v>Rajasthan Royals vs Kolkata Knight Riders</v>
      </c>
    </row>
    <row r="425" spans="1:26" x14ac:dyDescent="0.25">
      <c r="A425">
        <v>483</v>
      </c>
      <c r="B425">
        <v>2014</v>
      </c>
      <c r="C425" s="5">
        <v>41764</v>
      </c>
      <c r="D425" t="s">
        <v>172</v>
      </c>
      <c r="E425" t="s">
        <v>20</v>
      </c>
      <c r="F425" t="s">
        <v>12</v>
      </c>
      <c r="G425" t="s">
        <v>12</v>
      </c>
      <c r="H425" t="s">
        <v>173</v>
      </c>
      <c r="I425" t="s">
        <v>174</v>
      </c>
      <c r="J425">
        <v>0</v>
      </c>
      <c r="K425" t="s">
        <v>12</v>
      </c>
      <c r="L425">
        <v>0</v>
      </c>
      <c r="M425">
        <v>8</v>
      </c>
      <c r="N425" t="s">
        <v>238</v>
      </c>
      <c r="O425" t="s">
        <v>75</v>
      </c>
      <c r="P425" t="str">
        <f>INDEX(Teams!$B:$B,MATCH(E425,Teams!$A:$A,0))</f>
        <v>Delhi Capitals</v>
      </c>
      <c r="Q425" t="str">
        <f>INDEX(Teams!$B:$B,MATCH(F425,Teams!$A:$A,0))</f>
        <v>Chennai Super Kings</v>
      </c>
      <c r="R425" t="str">
        <f>INDEX(Teams!$B:$B,MATCH(G425,Teams!$A:$A,0))</f>
        <v>Chennai Super Kings</v>
      </c>
      <c r="S425" t="str">
        <f>IF(K425="","No result",INDEX(Teams!$B:$B,MATCH(K425,Teams!$A:$A,0)))</f>
        <v>Chennai Super Kings</v>
      </c>
      <c r="T425" t="str">
        <f>INDEX(Venues!$B:$B,MATCH(O425,Venues!$A:$A,0))</f>
        <v>Feroz Shah Kotla</v>
      </c>
      <c r="U425" t="str">
        <f>INDEX(Venues!$C:$C,MATCH(O425,Venues!$A:$A,0))</f>
        <v>Delhi</v>
      </c>
      <c r="V425" t="str">
        <f>IF(L425&gt;0,L425&amp;" runs",IF(M425&gt;0,M425&amp;" wickets","-"))</f>
        <v>8 wickets</v>
      </c>
      <c r="W425">
        <f>IF(G425=K425,1,0)</f>
        <v>1</v>
      </c>
      <c r="X425">
        <f>IF(L425&gt;0,L425,"")</f>
        <v/>
      </c>
      <c r="Y425">
        <f>IF(X425="","",IF(X425&gt;Stats!$B$15,"Outlier",""))</f>
        <v/>
      </c>
      <c r="Z425" t="str">
        <f>P425&amp;" vs "&amp;Q425</f>
        <v>Delhi Capitals vs Chennai Super Kings</v>
      </c>
    </row>
    <row r="426" spans="1:26" x14ac:dyDescent="0.25">
      <c r="A426">
        <v>484</v>
      </c>
      <c r="B426">
        <v>2014</v>
      </c>
      <c r="C426" s="5">
        <v>41765</v>
      </c>
      <c r="D426" t="s">
        <v>172</v>
      </c>
      <c r="E426" t="s">
        <v>35</v>
      </c>
      <c r="F426" t="s">
        <v>46</v>
      </c>
      <c r="G426" t="s">
        <v>46</v>
      </c>
      <c r="H426" t="s">
        <v>173</v>
      </c>
      <c r="I426" t="s">
        <v>174</v>
      </c>
      <c r="J426">
        <v>0</v>
      </c>
      <c r="K426" t="s">
        <v>35</v>
      </c>
      <c r="L426">
        <v>19</v>
      </c>
      <c r="M426">
        <v>0</v>
      </c>
      <c r="N426" t="s">
        <v>235</v>
      </c>
      <c r="O426" t="s">
        <v>138</v>
      </c>
      <c r="P426" t="str">
        <f>INDEX(Teams!$B:$B,MATCH(E426,Teams!$A:$A,0))</f>
        <v>Mumbai Indians</v>
      </c>
      <c r="Q426" t="str">
        <f>INDEX(Teams!$B:$B,MATCH(F426,Teams!$A:$A,0))</f>
        <v>Royal Challengers Bangalore</v>
      </c>
      <c r="R426" t="str">
        <f>INDEX(Teams!$B:$B,MATCH(G426,Teams!$A:$A,0))</f>
        <v>Royal Challengers Bangalore</v>
      </c>
      <c r="S426" t="str">
        <f>IF(K426="","No result",INDEX(Teams!$B:$B,MATCH(K426,Teams!$A:$A,0)))</f>
        <v>Mumbai Indians</v>
      </c>
      <c r="T426" t="str">
        <f>INDEX(Venues!$B:$B,MATCH(O426,Venues!$A:$A,0))</f>
        <v>Wankhede Stadium</v>
      </c>
      <c r="U426" t="str">
        <f>INDEX(Venues!$C:$C,MATCH(O426,Venues!$A:$A,0))</f>
        <v>Mumbai</v>
      </c>
      <c r="V426" t="str">
        <f>IF(L426&gt;0,L426&amp;" runs",IF(M426&gt;0,M426&amp;" wickets","-"))</f>
        <v>19 runs</v>
      </c>
      <c r="W426">
        <f>IF(G426=K426,1,0)</f>
        <v>0</v>
      </c>
      <c r="X426">
        <f>IF(L426&gt;0,L426,"")</f>
        <v>19</v>
      </c>
      <c r="Y426">
        <f>IF(X426="","",IF(X426&gt;Stats!$B$15,"Outlier",""))</f>
        <v/>
      </c>
      <c r="Z426" t="str">
        <f>P426&amp;" vs "&amp;Q426</f>
        <v>Mumbai Indians vs Royal Challengers Bangalore</v>
      </c>
    </row>
    <row r="427" spans="1:26" x14ac:dyDescent="0.25">
      <c r="A427">
        <v>485</v>
      </c>
      <c r="B427">
        <v>2014</v>
      </c>
      <c r="C427" s="5">
        <v>41766</v>
      </c>
      <c r="D427" t="s">
        <v>172</v>
      </c>
      <c r="E427" t="s">
        <v>20</v>
      </c>
      <c r="F427" t="s">
        <v>32</v>
      </c>
      <c r="G427" t="s">
        <v>20</v>
      </c>
      <c r="H427" t="s">
        <v>176</v>
      </c>
      <c r="I427" t="s">
        <v>174</v>
      </c>
      <c r="J427">
        <v>0</v>
      </c>
      <c r="K427" t="s">
        <v>32</v>
      </c>
      <c r="L427">
        <v>0</v>
      </c>
      <c r="M427">
        <v>8</v>
      </c>
      <c r="N427" t="s">
        <v>234</v>
      </c>
      <c r="O427" t="s">
        <v>75</v>
      </c>
      <c r="P427" t="str">
        <f>INDEX(Teams!$B:$B,MATCH(E427,Teams!$A:$A,0))</f>
        <v>Delhi Capitals</v>
      </c>
      <c r="Q427" t="str">
        <f>INDEX(Teams!$B:$B,MATCH(F427,Teams!$A:$A,0))</f>
        <v>Kolkata Knight Riders</v>
      </c>
      <c r="R427" t="str">
        <f>INDEX(Teams!$B:$B,MATCH(G427,Teams!$A:$A,0))</f>
        <v>Delhi Capitals</v>
      </c>
      <c r="S427" t="str">
        <f>IF(K427="","No result",INDEX(Teams!$B:$B,MATCH(K427,Teams!$A:$A,0)))</f>
        <v>Kolkata Knight Riders</v>
      </c>
      <c r="T427" t="str">
        <f>INDEX(Venues!$B:$B,MATCH(O427,Venues!$A:$A,0))</f>
        <v>Feroz Shah Kotla</v>
      </c>
      <c r="U427" t="str">
        <f>INDEX(Venues!$C:$C,MATCH(O427,Venues!$A:$A,0))</f>
        <v>Delhi</v>
      </c>
      <c r="V427" t="str">
        <f>IF(L427&gt;0,L427&amp;" runs",IF(M427&gt;0,M427&amp;" wickets","-"))</f>
        <v>8 wickets</v>
      </c>
      <c r="W427">
        <f>IF(G427=K427,1,0)</f>
        <v>0</v>
      </c>
      <c r="X427">
        <f>IF(L427&gt;0,L427,"")</f>
        <v/>
      </c>
      <c r="Y427">
        <f>IF(X427="","",IF(X427&gt;Stats!$B$15,"Outlier",""))</f>
        <v/>
      </c>
      <c r="Z427" t="str">
        <f>P427&amp;" vs "&amp;Q427</f>
        <v>Delhi Capitals vs Kolkata Knight Riders</v>
      </c>
    </row>
    <row r="428" spans="1:26" x14ac:dyDescent="0.25">
      <c r="A428">
        <v>486</v>
      </c>
      <c r="B428">
        <v>2014</v>
      </c>
      <c r="C428" s="5">
        <v>41766</v>
      </c>
      <c r="D428" t="s">
        <v>172</v>
      </c>
      <c r="E428" t="s">
        <v>26</v>
      </c>
      <c r="F428" t="s">
        <v>12</v>
      </c>
      <c r="G428" t="s">
        <v>12</v>
      </c>
      <c r="H428" t="s">
        <v>173</v>
      </c>
      <c r="I428" t="s">
        <v>174</v>
      </c>
      <c r="J428">
        <v>0</v>
      </c>
      <c r="K428" t="s">
        <v>26</v>
      </c>
      <c r="L428">
        <v>44</v>
      </c>
      <c r="M428">
        <v>0</v>
      </c>
      <c r="N428" t="s">
        <v>331</v>
      </c>
      <c r="O428" t="s">
        <v>54</v>
      </c>
      <c r="P428" t="str">
        <f>INDEX(Teams!$B:$B,MATCH(E428,Teams!$A:$A,0))</f>
        <v>Kings XI Punjab</v>
      </c>
      <c r="Q428" t="str">
        <f>INDEX(Teams!$B:$B,MATCH(F428,Teams!$A:$A,0))</f>
        <v>Chennai Super Kings</v>
      </c>
      <c r="R428" t="str">
        <f>INDEX(Teams!$B:$B,MATCH(G428,Teams!$A:$A,0))</f>
        <v>Chennai Super Kings</v>
      </c>
      <c r="S428" t="str">
        <f>IF(K428="","No result",INDEX(Teams!$B:$B,MATCH(K428,Teams!$A:$A,0)))</f>
        <v>Kings XI Punjab</v>
      </c>
      <c r="T428" t="str">
        <f>INDEX(Venues!$B:$B,MATCH(O428,Venues!$A:$A,0))</f>
        <v>Barabati Stadium</v>
      </c>
      <c r="U428" t="str">
        <f>INDEX(Venues!$C:$C,MATCH(O428,Venues!$A:$A,0))</f>
        <v>Cuttack</v>
      </c>
      <c r="V428" t="str">
        <f>IF(L428&gt;0,L428&amp;" runs",IF(M428&gt;0,M428&amp;" wickets","-"))</f>
        <v>44 runs</v>
      </c>
      <c r="W428">
        <f>IF(G428=K428,1,0)</f>
        <v>0</v>
      </c>
      <c r="X428">
        <f>IF(L428&gt;0,L428,"")</f>
        <v>44</v>
      </c>
      <c r="Y428">
        <f>IF(X428="","",IF(X428&gt;Stats!$B$15,"Outlier",""))</f>
        <v/>
      </c>
      <c r="Z428" t="str">
        <f>P428&amp;" vs "&amp;Q428</f>
        <v>Kings XI Punjab vs Chennai Super Kings</v>
      </c>
    </row>
    <row r="429" spans="1:26" x14ac:dyDescent="0.25">
      <c r="A429">
        <v>487</v>
      </c>
      <c r="B429">
        <v>2014</v>
      </c>
      <c r="C429" s="5">
        <v>41767</v>
      </c>
      <c r="D429" t="s">
        <v>172</v>
      </c>
      <c r="E429" t="s">
        <v>49</v>
      </c>
      <c r="F429" t="s">
        <v>41</v>
      </c>
      <c r="G429" t="s">
        <v>41</v>
      </c>
      <c r="H429" t="s">
        <v>173</v>
      </c>
      <c r="I429" t="s">
        <v>174</v>
      </c>
      <c r="J429">
        <v>0</v>
      </c>
      <c r="K429" t="s">
        <v>49</v>
      </c>
      <c r="L429">
        <v>32</v>
      </c>
      <c r="M429">
        <v>0</v>
      </c>
      <c r="N429" t="s">
        <v>336</v>
      </c>
      <c r="O429" t="s">
        <v>113</v>
      </c>
      <c r="P429" t="str">
        <f>INDEX(Teams!$B:$B,MATCH(E429,Teams!$A:$A,0))</f>
        <v>Sunrisers Hyderabad</v>
      </c>
      <c r="Q429" t="str">
        <f>INDEX(Teams!$B:$B,MATCH(F429,Teams!$A:$A,0))</f>
        <v>Rajasthan Royals</v>
      </c>
      <c r="R429" t="str">
        <f>INDEX(Teams!$B:$B,MATCH(G429,Teams!$A:$A,0))</f>
        <v>Rajasthan Royals</v>
      </c>
      <c r="S429" t="str">
        <f>IF(K429="","No result",INDEX(Teams!$B:$B,MATCH(K429,Teams!$A:$A,0)))</f>
        <v>Sunrisers Hyderabad</v>
      </c>
      <c r="T429" t="str">
        <f>INDEX(Venues!$B:$B,MATCH(O429,Venues!$A:$A,0))</f>
        <v>Sardar Patel Stadium</v>
      </c>
      <c r="U429" t="str">
        <f>INDEX(Venues!$C:$C,MATCH(O429,Venues!$A:$A,0))</f>
        <v>Ahmedabad</v>
      </c>
      <c r="V429" t="str">
        <f>IF(L429&gt;0,L429&amp;" runs",IF(M429&gt;0,M429&amp;" wickets","-"))</f>
        <v>32 runs</v>
      </c>
      <c r="W429">
        <f>IF(G429=K429,1,0)</f>
        <v>0</v>
      </c>
      <c r="X429">
        <f>IF(L429&gt;0,L429,"")</f>
        <v>32</v>
      </c>
      <c r="Y429">
        <f>IF(X429="","",IF(X429&gt;Stats!$B$15,"Outlier",""))</f>
        <v/>
      </c>
      <c r="Z429" t="str">
        <f>P429&amp;" vs "&amp;Q429</f>
        <v>Sunrisers Hyderabad vs Rajasthan Royals</v>
      </c>
    </row>
    <row r="430" spans="1:26" x14ac:dyDescent="0.25">
      <c r="A430">
        <v>488</v>
      </c>
      <c r="B430">
        <v>2014</v>
      </c>
      <c r="C430" s="5">
        <v>41768</v>
      </c>
      <c r="D430" t="s">
        <v>172</v>
      </c>
      <c r="E430" t="s">
        <v>26</v>
      </c>
      <c r="F430" t="s">
        <v>46</v>
      </c>
      <c r="G430" t="s">
        <v>46</v>
      </c>
      <c r="H430" t="s">
        <v>173</v>
      </c>
      <c r="I430" t="s">
        <v>174</v>
      </c>
      <c r="J430">
        <v>0</v>
      </c>
      <c r="K430" t="s">
        <v>26</v>
      </c>
      <c r="L430">
        <v>32</v>
      </c>
      <c r="M430">
        <v>0</v>
      </c>
      <c r="N430" t="s">
        <v>335</v>
      </c>
      <c r="O430" t="s">
        <v>92</v>
      </c>
      <c r="P430" t="str">
        <f>INDEX(Teams!$B:$B,MATCH(E430,Teams!$A:$A,0))</f>
        <v>Kings XI Punjab</v>
      </c>
      <c r="Q430" t="str">
        <f>INDEX(Teams!$B:$B,MATCH(F430,Teams!$A:$A,0))</f>
        <v>Royal Challengers Bangalore</v>
      </c>
      <c r="R430" t="str">
        <f>INDEX(Teams!$B:$B,MATCH(G430,Teams!$A:$A,0))</f>
        <v>Royal Challengers Bangalore</v>
      </c>
      <c r="S430" t="str">
        <f>IF(K430="","No result",INDEX(Teams!$B:$B,MATCH(K430,Teams!$A:$A,0)))</f>
        <v>Kings XI Punjab</v>
      </c>
      <c r="T430" t="str">
        <f>INDEX(Venues!$B:$B,MATCH(O430,Venues!$A:$A,0))</f>
        <v>M Chinnaswamy Stadium</v>
      </c>
      <c r="U430" t="str">
        <f>INDEX(Venues!$C:$C,MATCH(O430,Venues!$A:$A,0))</f>
        <v>Bangalore</v>
      </c>
      <c r="V430" t="str">
        <f>IF(L430&gt;0,L430&amp;" runs",IF(M430&gt;0,M430&amp;" wickets","-"))</f>
        <v>32 runs</v>
      </c>
      <c r="W430">
        <f>IF(G430=K430,1,0)</f>
        <v>0</v>
      </c>
      <c r="X430">
        <f>IF(L430&gt;0,L430,"")</f>
        <v>32</v>
      </c>
      <c r="Y430">
        <f>IF(X430="","",IF(X430&gt;Stats!$B$15,"Outlier",""))</f>
        <v/>
      </c>
      <c r="Z430" t="str">
        <f>P430&amp;" vs "&amp;Q430</f>
        <v>Kings XI Punjab vs Royal Challengers Bangalore</v>
      </c>
    </row>
    <row r="431" spans="1:26" x14ac:dyDescent="0.25">
      <c r="A431">
        <v>489</v>
      </c>
      <c r="B431">
        <v>2014</v>
      </c>
      <c r="C431" s="5">
        <v>41769</v>
      </c>
      <c r="D431" t="s">
        <v>172</v>
      </c>
      <c r="E431" t="s">
        <v>20</v>
      </c>
      <c r="F431" t="s">
        <v>49</v>
      </c>
      <c r="G431" t="s">
        <v>49</v>
      </c>
      <c r="H431" t="s">
        <v>173</v>
      </c>
      <c r="I431" t="s">
        <v>174</v>
      </c>
      <c r="J431">
        <v>1</v>
      </c>
      <c r="K431" t="s">
        <v>49</v>
      </c>
      <c r="L431">
        <v>0</v>
      </c>
      <c r="M431">
        <v>8</v>
      </c>
      <c r="N431" t="s">
        <v>279</v>
      </c>
      <c r="O431" t="s">
        <v>75</v>
      </c>
      <c r="P431" t="str">
        <f>INDEX(Teams!$B:$B,MATCH(E431,Teams!$A:$A,0))</f>
        <v>Delhi Capitals</v>
      </c>
      <c r="Q431" t="str">
        <f>INDEX(Teams!$B:$B,MATCH(F431,Teams!$A:$A,0))</f>
        <v>Sunrisers Hyderabad</v>
      </c>
      <c r="R431" t="str">
        <f>INDEX(Teams!$B:$B,MATCH(G431,Teams!$A:$A,0))</f>
        <v>Sunrisers Hyderabad</v>
      </c>
      <c r="S431" t="str">
        <f>IF(K431="","No result",INDEX(Teams!$B:$B,MATCH(K431,Teams!$A:$A,0)))</f>
        <v>Sunrisers Hyderabad</v>
      </c>
      <c r="T431" t="str">
        <f>INDEX(Venues!$B:$B,MATCH(O431,Venues!$A:$A,0))</f>
        <v>Feroz Shah Kotla</v>
      </c>
      <c r="U431" t="str">
        <f>INDEX(Venues!$C:$C,MATCH(O431,Venues!$A:$A,0))</f>
        <v>Delhi</v>
      </c>
      <c r="V431" t="str">
        <f>IF(L431&gt;0,L431&amp;" runs",IF(M431&gt;0,M431&amp;" wickets","-"))</f>
        <v>8 wickets</v>
      </c>
      <c r="W431">
        <f>IF(G431=K431,1,0)</f>
        <v>1</v>
      </c>
      <c r="X431">
        <f>IF(L431&gt;0,L431,"")</f>
        <v/>
      </c>
      <c r="Y431">
        <f>IF(X431="","",IF(X431&gt;Stats!$B$15,"Outlier",""))</f>
        <v/>
      </c>
      <c r="Z431" t="str">
        <f>P431&amp;" vs "&amp;Q431</f>
        <v>Delhi Capitals vs Sunrisers Hyderabad</v>
      </c>
    </row>
    <row r="432" spans="1:26" x14ac:dyDescent="0.25">
      <c r="A432">
        <v>490</v>
      </c>
      <c r="B432">
        <v>2014</v>
      </c>
      <c r="C432" s="5">
        <v>41769</v>
      </c>
      <c r="D432" t="s">
        <v>172</v>
      </c>
      <c r="E432" t="s">
        <v>35</v>
      </c>
      <c r="F432" t="s">
        <v>12</v>
      </c>
      <c r="G432" t="s">
        <v>12</v>
      </c>
      <c r="H432" t="s">
        <v>173</v>
      </c>
      <c r="I432" t="s">
        <v>174</v>
      </c>
      <c r="J432">
        <v>0</v>
      </c>
      <c r="K432" t="s">
        <v>12</v>
      </c>
      <c r="L432">
        <v>0</v>
      </c>
      <c r="M432">
        <v>4</v>
      </c>
      <c r="N432" t="s">
        <v>238</v>
      </c>
      <c r="O432" t="s">
        <v>138</v>
      </c>
      <c r="P432" t="str">
        <f>INDEX(Teams!$B:$B,MATCH(E432,Teams!$A:$A,0))</f>
        <v>Mumbai Indians</v>
      </c>
      <c r="Q432" t="str">
        <f>INDEX(Teams!$B:$B,MATCH(F432,Teams!$A:$A,0))</f>
        <v>Chennai Super Kings</v>
      </c>
      <c r="R432" t="str">
        <f>INDEX(Teams!$B:$B,MATCH(G432,Teams!$A:$A,0))</f>
        <v>Chennai Super Kings</v>
      </c>
      <c r="S432" t="str">
        <f>IF(K432="","No result",INDEX(Teams!$B:$B,MATCH(K432,Teams!$A:$A,0)))</f>
        <v>Chennai Super Kings</v>
      </c>
      <c r="T432" t="str">
        <f>INDEX(Venues!$B:$B,MATCH(O432,Venues!$A:$A,0))</f>
        <v>Wankhede Stadium</v>
      </c>
      <c r="U432" t="str">
        <f>INDEX(Venues!$C:$C,MATCH(O432,Venues!$A:$A,0))</f>
        <v>Mumbai</v>
      </c>
      <c r="V432" t="str">
        <f>IF(L432&gt;0,L432&amp;" runs",IF(M432&gt;0,M432&amp;" wickets","-"))</f>
        <v>4 wickets</v>
      </c>
      <c r="W432">
        <f>IF(G432=K432,1,0)</f>
        <v>1</v>
      </c>
      <c r="X432">
        <f>IF(L432&gt;0,L432,"")</f>
        <v/>
      </c>
      <c r="Y432">
        <f>IF(X432="","",IF(X432&gt;Stats!$B$15,"Outlier",""))</f>
        <v/>
      </c>
      <c r="Z432" t="str">
        <f>P432&amp;" vs "&amp;Q432</f>
        <v>Mumbai Indians vs Chennai Super Kings</v>
      </c>
    </row>
    <row r="433" spans="1:26" x14ac:dyDescent="0.25">
      <c r="A433">
        <v>491</v>
      </c>
      <c r="B433">
        <v>2014</v>
      </c>
      <c r="C433" s="5">
        <v>41770</v>
      </c>
      <c r="D433" t="s">
        <v>172</v>
      </c>
      <c r="E433" t="s">
        <v>26</v>
      </c>
      <c r="F433" t="s">
        <v>32</v>
      </c>
      <c r="G433" t="s">
        <v>32</v>
      </c>
      <c r="H433" t="s">
        <v>173</v>
      </c>
      <c r="I433" t="s">
        <v>174</v>
      </c>
      <c r="J433">
        <v>0</v>
      </c>
      <c r="K433" t="s">
        <v>32</v>
      </c>
      <c r="L433">
        <v>0</v>
      </c>
      <c r="M433">
        <v>9</v>
      </c>
      <c r="N433" t="s">
        <v>234</v>
      </c>
      <c r="O433" t="s">
        <v>54</v>
      </c>
      <c r="P433" t="str">
        <f>INDEX(Teams!$B:$B,MATCH(E433,Teams!$A:$A,0))</f>
        <v>Kings XI Punjab</v>
      </c>
      <c r="Q433" t="str">
        <f>INDEX(Teams!$B:$B,MATCH(F433,Teams!$A:$A,0))</f>
        <v>Kolkata Knight Riders</v>
      </c>
      <c r="R433" t="str">
        <f>INDEX(Teams!$B:$B,MATCH(G433,Teams!$A:$A,0))</f>
        <v>Kolkata Knight Riders</v>
      </c>
      <c r="S433" t="str">
        <f>IF(K433="","No result",INDEX(Teams!$B:$B,MATCH(K433,Teams!$A:$A,0)))</f>
        <v>Kolkata Knight Riders</v>
      </c>
      <c r="T433" t="str">
        <f>INDEX(Venues!$B:$B,MATCH(O433,Venues!$A:$A,0))</f>
        <v>Barabati Stadium</v>
      </c>
      <c r="U433" t="str">
        <f>INDEX(Venues!$C:$C,MATCH(O433,Venues!$A:$A,0))</f>
        <v>Cuttack</v>
      </c>
      <c r="V433" t="str">
        <f>IF(L433&gt;0,L433&amp;" runs",IF(M433&gt;0,M433&amp;" wickets","-"))</f>
        <v>9 wickets</v>
      </c>
      <c r="W433">
        <f>IF(G433=K433,1,0)</f>
        <v>1</v>
      </c>
      <c r="X433">
        <f>IF(L433&gt;0,L433,"")</f>
        <v/>
      </c>
      <c r="Y433">
        <f>IF(X433="","",IF(X433&gt;Stats!$B$15,"Outlier",""))</f>
        <v/>
      </c>
      <c r="Z433" t="str">
        <f>P433&amp;" vs "&amp;Q433</f>
        <v>Kings XI Punjab vs Kolkata Knight Riders</v>
      </c>
    </row>
    <row r="434" spans="1:26" x14ac:dyDescent="0.25">
      <c r="A434">
        <v>492</v>
      </c>
      <c r="B434">
        <v>2014</v>
      </c>
      <c r="C434" s="5">
        <v>41770</v>
      </c>
      <c r="D434" t="s">
        <v>172</v>
      </c>
      <c r="E434" t="s">
        <v>46</v>
      </c>
      <c r="F434" t="s">
        <v>41</v>
      </c>
      <c r="G434" t="s">
        <v>46</v>
      </c>
      <c r="H434" t="s">
        <v>176</v>
      </c>
      <c r="I434" t="s">
        <v>174</v>
      </c>
      <c r="J434">
        <v>0</v>
      </c>
      <c r="K434" t="s">
        <v>41</v>
      </c>
      <c r="L434">
        <v>0</v>
      </c>
      <c r="M434">
        <v>5</v>
      </c>
      <c r="N434" t="s">
        <v>320</v>
      </c>
      <c r="O434" t="s">
        <v>92</v>
      </c>
      <c r="P434" t="str">
        <f>INDEX(Teams!$B:$B,MATCH(E434,Teams!$A:$A,0))</f>
        <v>Royal Challengers Bangalore</v>
      </c>
      <c r="Q434" t="str">
        <f>INDEX(Teams!$B:$B,MATCH(F434,Teams!$A:$A,0))</f>
        <v>Rajasthan Royals</v>
      </c>
      <c r="R434" t="str">
        <f>INDEX(Teams!$B:$B,MATCH(G434,Teams!$A:$A,0))</f>
        <v>Royal Challengers Bangalore</v>
      </c>
      <c r="S434" t="str">
        <f>IF(K434="","No result",INDEX(Teams!$B:$B,MATCH(K434,Teams!$A:$A,0)))</f>
        <v>Rajasthan Royals</v>
      </c>
      <c r="T434" t="str">
        <f>INDEX(Venues!$B:$B,MATCH(O434,Venues!$A:$A,0))</f>
        <v>M Chinnaswamy Stadium</v>
      </c>
      <c r="U434" t="str">
        <f>INDEX(Venues!$C:$C,MATCH(O434,Venues!$A:$A,0))</f>
        <v>Bangalore</v>
      </c>
      <c r="V434" t="str">
        <f>IF(L434&gt;0,L434&amp;" runs",IF(M434&gt;0,M434&amp;" wickets","-"))</f>
        <v>5 wickets</v>
      </c>
      <c r="W434">
        <f>IF(G434=K434,1,0)</f>
        <v>0</v>
      </c>
      <c r="X434">
        <f>IF(L434&gt;0,L434,"")</f>
        <v/>
      </c>
      <c r="Y434">
        <f>IF(X434="","",IF(X434&gt;Stats!$B$15,"Outlier",""))</f>
        <v/>
      </c>
      <c r="Z434" t="str">
        <f>P434&amp;" vs "&amp;Q434</f>
        <v>Royal Challengers Bangalore vs Rajasthan Royals</v>
      </c>
    </row>
    <row r="435" spans="1:26" x14ac:dyDescent="0.25">
      <c r="A435">
        <v>493</v>
      </c>
      <c r="B435">
        <v>2014</v>
      </c>
      <c r="C435" s="5">
        <v>41771</v>
      </c>
      <c r="D435" t="s">
        <v>172</v>
      </c>
      <c r="E435" t="s">
        <v>49</v>
      </c>
      <c r="F435" t="s">
        <v>35</v>
      </c>
      <c r="G435" t="s">
        <v>49</v>
      </c>
      <c r="H435" t="s">
        <v>176</v>
      </c>
      <c r="I435" t="s">
        <v>174</v>
      </c>
      <c r="J435">
        <v>0</v>
      </c>
      <c r="K435" t="s">
        <v>35</v>
      </c>
      <c r="L435">
        <v>0</v>
      </c>
      <c r="M435">
        <v>7</v>
      </c>
      <c r="N435" t="s">
        <v>261</v>
      </c>
      <c r="O435" t="s">
        <v>111</v>
      </c>
      <c r="P435" t="str">
        <f>INDEX(Teams!$B:$B,MATCH(E435,Teams!$A:$A,0))</f>
        <v>Sunrisers Hyderabad</v>
      </c>
      <c r="Q435" t="str">
        <f>INDEX(Teams!$B:$B,MATCH(F435,Teams!$A:$A,0))</f>
        <v>Mumbai Indians</v>
      </c>
      <c r="R435" t="str">
        <f>INDEX(Teams!$B:$B,MATCH(G435,Teams!$A:$A,0))</f>
        <v>Sunrisers Hyderabad</v>
      </c>
      <c r="S435" t="str">
        <f>IF(K435="","No result",INDEX(Teams!$B:$B,MATCH(K435,Teams!$A:$A,0)))</f>
        <v>Mumbai Indians</v>
      </c>
      <c r="T435" t="str">
        <f>INDEX(Venues!$B:$B,MATCH(O435,Venues!$A:$A,0))</f>
        <v>Rajiv Gandhi International Stadium</v>
      </c>
      <c r="U435" t="str">
        <f>INDEX(Venues!$C:$C,MATCH(O435,Venues!$A:$A,0))</f>
        <v>Hyderabad</v>
      </c>
      <c r="V435" t="str">
        <f>IF(L435&gt;0,L435&amp;" runs",IF(M435&gt;0,M435&amp;" wickets","-"))</f>
        <v>7 wickets</v>
      </c>
      <c r="W435">
        <f>IF(G435=K435,1,0)</f>
        <v>0</v>
      </c>
      <c r="X435">
        <f>IF(L435&gt;0,L435,"")</f>
        <v/>
      </c>
      <c r="Y435">
        <f>IF(X435="","",IF(X435&gt;Stats!$B$15,"Outlier",""))</f>
        <v/>
      </c>
      <c r="Z435" t="str">
        <f>P435&amp;" vs "&amp;Q435</f>
        <v>Sunrisers Hyderabad vs Mumbai Indians</v>
      </c>
    </row>
    <row r="436" spans="1:26" x14ac:dyDescent="0.25">
      <c r="A436">
        <v>494</v>
      </c>
      <c r="B436">
        <v>2014</v>
      </c>
      <c r="C436" s="5">
        <v>41772</v>
      </c>
      <c r="D436" t="s">
        <v>172</v>
      </c>
      <c r="E436" t="s">
        <v>41</v>
      </c>
      <c r="F436" t="s">
        <v>12</v>
      </c>
      <c r="G436" t="s">
        <v>41</v>
      </c>
      <c r="H436" t="s">
        <v>176</v>
      </c>
      <c r="I436" t="s">
        <v>174</v>
      </c>
      <c r="J436">
        <v>0</v>
      </c>
      <c r="K436" t="s">
        <v>12</v>
      </c>
      <c r="L436">
        <v>0</v>
      </c>
      <c r="M436">
        <v>5</v>
      </c>
      <c r="N436" t="s">
        <v>299</v>
      </c>
      <c r="O436" t="s">
        <v>86</v>
      </c>
      <c r="P436" t="str">
        <f>INDEX(Teams!$B:$B,MATCH(E436,Teams!$A:$A,0))</f>
        <v>Rajasthan Royals</v>
      </c>
      <c r="Q436" t="str">
        <f>INDEX(Teams!$B:$B,MATCH(F436,Teams!$A:$A,0))</f>
        <v>Chennai Super Kings</v>
      </c>
      <c r="R436" t="str">
        <f>INDEX(Teams!$B:$B,MATCH(G436,Teams!$A:$A,0))</f>
        <v>Rajasthan Royals</v>
      </c>
      <c r="S436" t="str">
        <f>IF(K436="","No result",INDEX(Teams!$B:$B,MATCH(K436,Teams!$A:$A,0)))</f>
        <v>Chennai Super Kings</v>
      </c>
      <c r="T436" t="str">
        <f>INDEX(Venues!$B:$B,MATCH(O436,Venues!$A:$A,0))</f>
        <v>JSCA International Stadium Complex</v>
      </c>
      <c r="U436" t="str">
        <f>INDEX(Venues!$C:$C,MATCH(O436,Venues!$A:$A,0))</f>
        <v>Ranchi</v>
      </c>
      <c r="V436" t="str">
        <f>IF(L436&gt;0,L436&amp;" runs",IF(M436&gt;0,M436&amp;" wickets","-"))</f>
        <v>5 wickets</v>
      </c>
      <c r="W436">
        <f>IF(G436=K436,1,0)</f>
        <v>0</v>
      </c>
      <c r="X436">
        <f>IF(L436&gt;0,L436,"")</f>
        <v/>
      </c>
      <c r="Y436">
        <f>IF(X436="","",IF(X436&gt;Stats!$B$15,"Outlier",""))</f>
        <v/>
      </c>
      <c r="Z436" t="str">
        <f>P436&amp;" vs "&amp;Q436</f>
        <v>Rajasthan Royals vs Chennai Super Kings</v>
      </c>
    </row>
    <row r="437" spans="1:26" x14ac:dyDescent="0.25">
      <c r="A437">
        <v>495</v>
      </c>
      <c r="B437">
        <v>2014</v>
      </c>
      <c r="C437" s="5">
        <v>41772</v>
      </c>
      <c r="D437" t="s">
        <v>172</v>
      </c>
      <c r="E437" t="s">
        <v>46</v>
      </c>
      <c r="F437" t="s">
        <v>20</v>
      </c>
      <c r="G437" t="s">
        <v>20</v>
      </c>
      <c r="H437" t="s">
        <v>173</v>
      </c>
      <c r="I437" t="s">
        <v>174</v>
      </c>
      <c r="J437">
        <v>0</v>
      </c>
      <c r="K437" t="s">
        <v>46</v>
      </c>
      <c r="L437">
        <v>16</v>
      </c>
      <c r="M437">
        <v>0</v>
      </c>
      <c r="N437" t="s">
        <v>231</v>
      </c>
      <c r="O437" t="s">
        <v>92</v>
      </c>
      <c r="P437" t="str">
        <f>INDEX(Teams!$B:$B,MATCH(E437,Teams!$A:$A,0))</f>
        <v>Royal Challengers Bangalore</v>
      </c>
      <c r="Q437" t="str">
        <f>INDEX(Teams!$B:$B,MATCH(F437,Teams!$A:$A,0))</f>
        <v>Delhi Capitals</v>
      </c>
      <c r="R437" t="str">
        <f>INDEX(Teams!$B:$B,MATCH(G437,Teams!$A:$A,0))</f>
        <v>Delhi Capitals</v>
      </c>
      <c r="S437" t="str">
        <f>IF(K437="","No result",INDEX(Teams!$B:$B,MATCH(K437,Teams!$A:$A,0)))</f>
        <v>Royal Challengers Bangalore</v>
      </c>
      <c r="T437" t="str">
        <f>INDEX(Venues!$B:$B,MATCH(O437,Venues!$A:$A,0))</f>
        <v>M Chinnaswamy Stadium</v>
      </c>
      <c r="U437" t="str">
        <f>INDEX(Venues!$C:$C,MATCH(O437,Venues!$A:$A,0))</f>
        <v>Bangalore</v>
      </c>
      <c r="V437" t="str">
        <f>IF(L437&gt;0,L437&amp;" runs",IF(M437&gt;0,M437&amp;" wickets","-"))</f>
        <v>16 runs</v>
      </c>
      <c r="W437">
        <f>IF(G437=K437,1,0)</f>
        <v>0</v>
      </c>
      <c r="X437">
        <f>IF(L437&gt;0,L437,"")</f>
        <v>16</v>
      </c>
      <c r="Y437">
        <f>IF(X437="","",IF(X437&gt;Stats!$B$15,"Outlier",""))</f>
        <v/>
      </c>
      <c r="Z437" t="str">
        <f>P437&amp;" vs "&amp;Q437</f>
        <v>Royal Challengers Bangalore vs Delhi Capitals</v>
      </c>
    </row>
    <row r="438" spans="1:26" x14ac:dyDescent="0.25">
      <c r="A438">
        <v>496</v>
      </c>
      <c r="B438">
        <v>2014</v>
      </c>
      <c r="C438" s="5">
        <v>41773</v>
      </c>
      <c r="D438" t="s">
        <v>172</v>
      </c>
      <c r="E438" t="s">
        <v>49</v>
      </c>
      <c r="F438" t="s">
        <v>26</v>
      </c>
      <c r="G438" t="s">
        <v>26</v>
      </c>
      <c r="H438" t="s">
        <v>173</v>
      </c>
      <c r="I438" t="s">
        <v>174</v>
      </c>
      <c r="J438">
        <v>0</v>
      </c>
      <c r="K438" t="s">
        <v>26</v>
      </c>
      <c r="L438">
        <v>0</v>
      </c>
      <c r="M438">
        <v>6</v>
      </c>
      <c r="N438" t="s">
        <v>291</v>
      </c>
      <c r="O438" t="s">
        <v>111</v>
      </c>
      <c r="P438" t="str">
        <f>INDEX(Teams!$B:$B,MATCH(E438,Teams!$A:$A,0))</f>
        <v>Sunrisers Hyderabad</v>
      </c>
      <c r="Q438" t="str">
        <f>INDEX(Teams!$B:$B,MATCH(F438,Teams!$A:$A,0))</f>
        <v>Kings XI Punjab</v>
      </c>
      <c r="R438" t="str">
        <f>INDEX(Teams!$B:$B,MATCH(G438,Teams!$A:$A,0))</f>
        <v>Kings XI Punjab</v>
      </c>
      <c r="S438" t="str">
        <f>IF(K438="","No result",INDEX(Teams!$B:$B,MATCH(K438,Teams!$A:$A,0)))</f>
        <v>Kings XI Punjab</v>
      </c>
      <c r="T438" t="str">
        <f>INDEX(Venues!$B:$B,MATCH(O438,Venues!$A:$A,0))</f>
        <v>Rajiv Gandhi International Stadium</v>
      </c>
      <c r="U438" t="str">
        <f>INDEX(Venues!$C:$C,MATCH(O438,Venues!$A:$A,0))</f>
        <v>Hyderabad</v>
      </c>
      <c r="V438" t="str">
        <f>IF(L438&gt;0,L438&amp;" runs",IF(M438&gt;0,M438&amp;" wickets","-"))</f>
        <v>6 wickets</v>
      </c>
      <c r="W438">
        <f>IF(G438=K438,1,0)</f>
        <v>1</v>
      </c>
      <c r="X438">
        <f>IF(L438&gt;0,L438,"")</f>
        <v/>
      </c>
      <c r="Y438">
        <f>IF(X438="","",IF(X438&gt;Stats!$B$15,"Outlier",""))</f>
        <v/>
      </c>
      <c r="Z438" t="str">
        <f>P438&amp;" vs "&amp;Q438</f>
        <v>Sunrisers Hyderabad vs Kings XI Punjab</v>
      </c>
    </row>
    <row r="439" spans="1:26" x14ac:dyDescent="0.25">
      <c r="A439">
        <v>497</v>
      </c>
      <c r="B439">
        <v>2014</v>
      </c>
      <c r="C439" s="5">
        <v>41773</v>
      </c>
      <c r="D439" t="s">
        <v>172</v>
      </c>
      <c r="E439" t="s">
        <v>35</v>
      </c>
      <c r="F439" t="s">
        <v>32</v>
      </c>
      <c r="G439" t="s">
        <v>32</v>
      </c>
      <c r="H439" t="s">
        <v>173</v>
      </c>
      <c r="I439" t="s">
        <v>174</v>
      </c>
      <c r="J439">
        <v>0</v>
      </c>
      <c r="K439" t="s">
        <v>32</v>
      </c>
      <c r="L439">
        <v>0</v>
      </c>
      <c r="M439">
        <v>6</v>
      </c>
      <c r="N439" t="s">
        <v>253</v>
      </c>
      <c r="O439" t="s">
        <v>54</v>
      </c>
      <c r="P439" t="str">
        <f>INDEX(Teams!$B:$B,MATCH(E439,Teams!$A:$A,0))</f>
        <v>Mumbai Indians</v>
      </c>
      <c r="Q439" t="str">
        <f>INDEX(Teams!$B:$B,MATCH(F439,Teams!$A:$A,0))</f>
        <v>Kolkata Knight Riders</v>
      </c>
      <c r="R439" t="str">
        <f>INDEX(Teams!$B:$B,MATCH(G439,Teams!$A:$A,0))</f>
        <v>Kolkata Knight Riders</v>
      </c>
      <c r="S439" t="str">
        <f>IF(K439="","No result",INDEX(Teams!$B:$B,MATCH(K439,Teams!$A:$A,0)))</f>
        <v>Kolkata Knight Riders</v>
      </c>
      <c r="T439" t="str">
        <f>INDEX(Venues!$B:$B,MATCH(O439,Venues!$A:$A,0))</f>
        <v>Barabati Stadium</v>
      </c>
      <c r="U439" t="str">
        <f>INDEX(Venues!$C:$C,MATCH(O439,Venues!$A:$A,0))</f>
        <v>Cuttack</v>
      </c>
      <c r="V439" t="str">
        <f>IF(L439&gt;0,L439&amp;" runs",IF(M439&gt;0,M439&amp;" wickets","-"))</f>
        <v>6 wickets</v>
      </c>
      <c r="W439">
        <f>IF(G439=K439,1,0)</f>
        <v>1</v>
      </c>
      <c r="X439">
        <f>IF(L439&gt;0,L439,"")</f>
        <v/>
      </c>
      <c r="Y439">
        <f>IF(X439="","",IF(X439&gt;Stats!$B$15,"Outlier",""))</f>
        <v/>
      </c>
      <c r="Z439" t="str">
        <f>P439&amp;" vs "&amp;Q439</f>
        <v>Mumbai Indians vs Kolkata Knight Riders</v>
      </c>
    </row>
    <row r="440" spans="1:26" x14ac:dyDescent="0.25">
      <c r="A440">
        <v>498</v>
      </c>
      <c r="B440">
        <v>2014</v>
      </c>
      <c r="C440" s="5">
        <v>41774</v>
      </c>
      <c r="D440" t="s">
        <v>172</v>
      </c>
      <c r="E440" t="s">
        <v>41</v>
      </c>
      <c r="F440" t="s">
        <v>20</v>
      </c>
      <c r="G440" t="s">
        <v>20</v>
      </c>
      <c r="H440" t="s">
        <v>173</v>
      </c>
      <c r="I440" t="s">
        <v>174</v>
      </c>
      <c r="J440">
        <v>0</v>
      </c>
      <c r="K440" t="s">
        <v>41</v>
      </c>
      <c r="L440">
        <v>62</v>
      </c>
      <c r="M440">
        <v>0</v>
      </c>
      <c r="N440" t="s">
        <v>298</v>
      </c>
      <c r="O440" t="s">
        <v>113</v>
      </c>
      <c r="P440" t="str">
        <f>INDEX(Teams!$B:$B,MATCH(E440,Teams!$A:$A,0))</f>
        <v>Rajasthan Royals</v>
      </c>
      <c r="Q440" t="str">
        <f>INDEX(Teams!$B:$B,MATCH(F440,Teams!$A:$A,0))</f>
        <v>Delhi Capitals</v>
      </c>
      <c r="R440" t="str">
        <f>INDEX(Teams!$B:$B,MATCH(G440,Teams!$A:$A,0))</f>
        <v>Delhi Capitals</v>
      </c>
      <c r="S440" t="str">
        <f>IF(K440="","No result",INDEX(Teams!$B:$B,MATCH(K440,Teams!$A:$A,0)))</f>
        <v>Rajasthan Royals</v>
      </c>
      <c r="T440" t="str">
        <f>INDEX(Venues!$B:$B,MATCH(O440,Venues!$A:$A,0))</f>
        <v>Sardar Patel Stadium</v>
      </c>
      <c r="U440" t="str">
        <f>INDEX(Venues!$C:$C,MATCH(O440,Venues!$A:$A,0))</f>
        <v>Ahmedabad</v>
      </c>
      <c r="V440" t="str">
        <f>IF(L440&gt;0,L440&amp;" runs",IF(M440&gt;0,M440&amp;" wickets","-"))</f>
        <v>62 runs</v>
      </c>
      <c r="W440">
        <f>IF(G440=K440,1,0)</f>
        <v>0</v>
      </c>
      <c r="X440">
        <f>IF(L440&gt;0,L440,"")</f>
        <v>62</v>
      </c>
      <c r="Y440">
        <f>IF(X440="","",IF(X440&gt;Stats!$B$15,"Outlier",""))</f>
        <v/>
      </c>
      <c r="Z440" t="str">
        <f>P440&amp;" vs "&amp;Q440</f>
        <v>Rajasthan Royals vs Delhi Capitals</v>
      </c>
    </row>
    <row r="441" spans="1:26" x14ac:dyDescent="0.25">
      <c r="A441">
        <v>499</v>
      </c>
      <c r="B441">
        <v>2014</v>
      </c>
      <c r="C441" s="5">
        <v>41777</v>
      </c>
      <c r="D441" t="s">
        <v>172</v>
      </c>
      <c r="E441" t="s">
        <v>12</v>
      </c>
      <c r="F441" t="s">
        <v>46</v>
      </c>
      <c r="G441" t="s">
        <v>12</v>
      </c>
      <c r="H441" t="s">
        <v>176</v>
      </c>
      <c r="I441" t="s">
        <v>174</v>
      </c>
      <c r="J441">
        <v>0</v>
      </c>
      <c r="K441" t="s">
        <v>46</v>
      </c>
      <c r="L441">
        <v>0</v>
      </c>
      <c r="M441">
        <v>5</v>
      </c>
      <c r="N441" t="s">
        <v>223</v>
      </c>
      <c r="O441" t="s">
        <v>86</v>
      </c>
      <c r="P441" t="str">
        <f>INDEX(Teams!$B:$B,MATCH(E441,Teams!$A:$A,0))</f>
        <v>Chennai Super Kings</v>
      </c>
      <c r="Q441" t="str">
        <f>INDEX(Teams!$B:$B,MATCH(F441,Teams!$A:$A,0))</f>
        <v>Royal Challengers Bangalore</v>
      </c>
      <c r="R441" t="str">
        <f>INDEX(Teams!$B:$B,MATCH(G441,Teams!$A:$A,0))</f>
        <v>Chennai Super Kings</v>
      </c>
      <c r="S441" t="str">
        <f>IF(K441="","No result",INDEX(Teams!$B:$B,MATCH(K441,Teams!$A:$A,0)))</f>
        <v>Royal Challengers Bangalore</v>
      </c>
      <c r="T441" t="str">
        <f>INDEX(Venues!$B:$B,MATCH(O441,Venues!$A:$A,0))</f>
        <v>JSCA International Stadium Complex</v>
      </c>
      <c r="U441" t="str">
        <f>INDEX(Venues!$C:$C,MATCH(O441,Venues!$A:$A,0))</f>
        <v>Ranchi</v>
      </c>
      <c r="V441" t="str">
        <f>IF(L441&gt;0,L441&amp;" runs",IF(M441&gt;0,M441&amp;" wickets","-"))</f>
        <v>5 wickets</v>
      </c>
      <c r="W441">
        <f>IF(G441=K441,1,0)</f>
        <v>0</v>
      </c>
      <c r="X441">
        <f>IF(L441&gt;0,L441,"")</f>
        <v/>
      </c>
      <c r="Y441">
        <f>IF(X441="","",IF(X441&gt;Stats!$B$15,"Outlier",""))</f>
        <v/>
      </c>
      <c r="Z441" t="str">
        <f>P441&amp;" vs "&amp;Q441</f>
        <v>Chennai Super Kings vs Royal Challengers Bangalore</v>
      </c>
    </row>
    <row r="442" spans="1:26" x14ac:dyDescent="0.25">
      <c r="A442">
        <v>500</v>
      </c>
      <c r="B442">
        <v>2014</v>
      </c>
      <c r="C442" s="5">
        <v>41777</v>
      </c>
      <c r="D442" t="s">
        <v>172</v>
      </c>
      <c r="E442" t="s">
        <v>49</v>
      </c>
      <c r="F442" t="s">
        <v>32</v>
      </c>
      <c r="G442" t="s">
        <v>49</v>
      </c>
      <c r="H442" t="s">
        <v>176</v>
      </c>
      <c r="I442" t="s">
        <v>174</v>
      </c>
      <c r="J442">
        <v>0</v>
      </c>
      <c r="K442" t="s">
        <v>32</v>
      </c>
      <c r="L442">
        <v>0</v>
      </c>
      <c r="M442">
        <v>7</v>
      </c>
      <c r="N442" t="s">
        <v>315</v>
      </c>
      <c r="O442" t="s">
        <v>111</v>
      </c>
      <c r="P442" t="str">
        <f>INDEX(Teams!$B:$B,MATCH(E442,Teams!$A:$A,0))</f>
        <v>Sunrisers Hyderabad</v>
      </c>
      <c r="Q442" t="str">
        <f>INDEX(Teams!$B:$B,MATCH(F442,Teams!$A:$A,0))</f>
        <v>Kolkata Knight Riders</v>
      </c>
      <c r="R442" t="str">
        <f>INDEX(Teams!$B:$B,MATCH(G442,Teams!$A:$A,0))</f>
        <v>Sunrisers Hyderabad</v>
      </c>
      <c r="S442" t="str">
        <f>IF(K442="","No result",INDEX(Teams!$B:$B,MATCH(K442,Teams!$A:$A,0)))</f>
        <v>Kolkata Knight Riders</v>
      </c>
      <c r="T442" t="str">
        <f>INDEX(Venues!$B:$B,MATCH(O442,Venues!$A:$A,0))</f>
        <v>Rajiv Gandhi International Stadium</v>
      </c>
      <c r="U442" t="str">
        <f>INDEX(Venues!$C:$C,MATCH(O442,Venues!$A:$A,0))</f>
        <v>Hyderabad</v>
      </c>
      <c r="V442" t="str">
        <f>IF(L442&gt;0,L442&amp;" runs",IF(M442&gt;0,M442&amp;" wickets","-"))</f>
        <v>7 wickets</v>
      </c>
      <c r="W442">
        <f>IF(G442=K442,1,0)</f>
        <v>0</v>
      </c>
      <c r="X442">
        <f>IF(L442&gt;0,L442,"")</f>
        <v/>
      </c>
      <c r="Y442">
        <f>IF(X442="","",IF(X442&gt;Stats!$B$15,"Outlier",""))</f>
        <v/>
      </c>
      <c r="Z442" t="str">
        <f>P442&amp;" vs "&amp;Q442</f>
        <v>Sunrisers Hyderabad vs Kolkata Knight Riders</v>
      </c>
    </row>
    <row r="443" spans="1:26" x14ac:dyDescent="0.25">
      <c r="A443">
        <v>501</v>
      </c>
      <c r="B443">
        <v>2014</v>
      </c>
      <c r="C443" s="5">
        <v>41778</v>
      </c>
      <c r="D443" t="s">
        <v>172</v>
      </c>
      <c r="E443" t="s">
        <v>35</v>
      </c>
      <c r="F443" t="s">
        <v>41</v>
      </c>
      <c r="G443" t="s">
        <v>35</v>
      </c>
      <c r="H443" t="s">
        <v>176</v>
      </c>
      <c r="I443" t="s">
        <v>174</v>
      </c>
      <c r="J443">
        <v>0</v>
      </c>
      <c r="K443" t="s">
        <v>35</v>
      </c>
      <c r="L443">
        <v>25</v>
      </c>
      <c r="M443">
        <v>0</v>
      </c>
      <c r="N443" t="s">
        <v>177</v>
      </c>
      <c r="O443" t="s">
        <v>113</v>
      </c>
      <c r="P443" t="str">
        <f>INDEX(Teams!$B:$B,MATCH(E443,Teams!$A:$A,0))</f>
        <v>Mumbai Indians</v>
      </c>
      <c r="Q443" t="str">
        <f>INDEX(Teams!$B:$B,MATCH(F443,Teams!$A:$A,0))</f>
        <v>Rajasthan Royals</v>
      </c>
      <c r="R443" t="str">
        <f>INDEX(Teams!$B:$B,MATCH(G443,Teams!$A:$A,0))</f>
        <v>Mumbai Indians</v>
      </c>
      <c r="S443" t="str">
        <f>IF(K443="","No result",INDEX(Teams!$B:$B,MATCH(K443,Teams!$A:$A,0)))</f>
        <v>Mumbai Indians</v>
      </c>
      <c r="T443" t="str">
        <f>INDEX(Venues!$B:$B,MATCH(O443,Venues!$A:$A,0))</f>
        <v>Sardar Patel Stadium</v>
      </c>
      <c r="U443" t="str">
        <f>INDEX(Venues!$C:$C,MATCH(O443,Venues!$A:$A,0))</f>
        <v>Ahmedabad</v>
      </c>
      <c r="V443" t="str">
        <f>IF(L443&gt;0,L443&amp;" runs",IF(M443&gt;0,M443&amp;" wickets","-"))</f>
        <v>25 runs</v>
      </c>
      <c r="W443">
        <f>IF(G443=K443,1,0)</f>
        <v>1</v>
      </c>
      <c r="X443">
        <f>IF(L443&gt;0,L443,"")</f>
        <v>25</v>
      </c>
      <c r="Y443">
        <f>IF(X443="","",IF(X443&gt;Stats!$B$15,"Outlier",""))</f>
        <v/>
      </c>
      <c r="Z443" t="str">
        <f>P443&amp;" vs "&amp;Q443</f>
        <v>Mumbai Indians vs Rajasthan Royals</v>
      </c>
    </row>
    <row r="444" spans="1:26" x14ac:dyDescent="0.25">
      <c r="A444">
        <v>502</v>
      </c>
      <c r="B444">
        <v>2014</v>
      </c>
      <c r="C444" s="5">
        <v>41778</v>
      </c>
      <c r="D444" t="s">
        <v>172</v>
      </c>
      <c r="E444" t="s">
        <v>20</v>
      </c>
      <c r="F444" t="s">
        <v>26</v>
      </c>
      <c r="G444" t="s">
        <v>26</v>
      </c>
      <c r="H444" t="s">
        <v>173</v>
      </c>
      <c r="I444" t="s">
        <v>174</v>
      </c>
      <c r="J444">
        <v>0</v>
      </c>
      <c r="K444" t="s">
        <v>26</v>
      </c>
      <c r="L444">
        <v>0</v>
      </c>
      <c r="M444">
        <v>4</v>
      </c>
      <c r="N444" t="s">
        <v>339</v>
      </c>
      <c r="O444" t="s">
        <v>75</v>
      </c>
      <c r="P444" t="str">
        <f>INDEX(Teams!$B:$B,MATCH(E444,Teams!$A:$A,0))</f>
        <v>Delhi Capitals</v>
      </c>
      <c r="Q444" t="str">
        <f>INDEX(Teams!$B:$B,MATCH(F444,Teams!$A:$A,0))</f>
        <v>Kings XI Punjab</v>
      </c>
      <c r="R444" t="str">
        <f>INDEX(Teams!$B:$B,MATCH(G444,Teams!$A:$A,0))</f>
        <v>Kings XI Punjab</v>
      </c>
      <c r="S444" t="str">
        <f>IF(K444="","No result",INDEX(Teams!$B:$B,MATCH(K444,Teams!$A:$A,0)))</f>
        <v>Kings XI Punjab</v>
      </c>
      <c r="T444" t="str">
        <f>INDEX(Venues!$B:$B,MATCH(O444,Venues!$A:$A,0))</f>
        <v>Feroz Shah Kotla</v>
      </c>
      <c r="U444" t="str">
        <f>INDEX(Venues!$C:$C,MATCH(O444,Venues!$A:$A,0))</f>
        <v>Delhi</v>
      </c>
      <c r="V444" t="str">
        <f>IF(L444&gt;0,L444&amp;" runs",IF(M444&gt;0,M444&amp;" wickets","-"))</f>
        <v>4 wickets</v>
      </c>
      <c r="W444">
        <f>IF(G444=K444,1,0)</f>
        <v>1</v>
      </c>
      <c r="X444">
        <f>IF(L444&gt;0,L444,"")</f>
        <v/>
      </c>
      <c r="Y444">
        <f>IF(X444="","",IF(X444&gt;Stats!$B$15,"Outlier",""))</f>
        <v/>
      </c>
      <c r="Z444" t="str">
        <f>P444&amp;" vs "&amp;Q444</f>
        <v>Delhi Capitals vs Kings XI Punjab</v>
      </c>
    </row>
    <row r="445" spans="1:26" x14ac:dyDescent="0.25">
      <c r="A445">
        <v>503</v>
      </c>
      <c r="B445">
        <v>2014</v>
      </c>
      <c r="C445" s="5">
        <v>41779</v>
      </c>
      <c r="D445" t="s">
        <v>172</v>
      </c>
      <c r="E445" t="s">
        <v>46</v>
      </c>
      <c r="F445" t="s">
        <v>49</v>
      </c>
      <c r="G445" t="s">
        <v>46</v>
      </c>
      <c r="H445" t="s">
        <v>176</v>
      </c>
      <c r="I445" t="s">
        <v>174</v>
      </c>
      <c r="J445">
        <v>0</v>
      </c>
      <c r="K445" t="s">
        <v>49</v>
      </c>
      <c r="L445">
        <v>0</v>
      </c>
      <c r="M445">
        <v>7</v>
      </c>
      <c r="N445" t="s">
        <v>257</v>
      </c>
      <c r="O445" t="s">
        <v>111</v>
      </c>
      <c r="P445" t="str">
        <f>INDEX(Teams!$B:$B,MATCH(E445,Teams!$A:$A,0))</f>
        <v>Royal Challengers Bangalore</v>
      </c>
      <c r="Q445" t="str">
        <f>INDEX(Teams!$B:$B,MATCH(F445,Teams!$A:$A,0))</f>
        <v>Sunrisers Hyderabad</v>
      </c>
      <c r="R445" t="str">
        <f>INDEX(Teams!$B:$B,MATCH(G445,Teams!$A:$A,0))</f>
        <v>Royal Challengers Bangalore</v>
      </c>
      <c r="S445" t="str">
        <f>IF(K445="","No result",INDEX(Teams!$B:$B,MATCH(K445,Teams!$A:$A,0)))</f>
        <v>Sunrisers Hyderabad</v>
      </c>
      <c r="T445" t="str">
        <f>INDEX(Venues!$B:$B,MATCH(O445,Venues!$A:$A,0))</f>
        <v>Rajiv Gandhi International Stadium</v>
      </c>
      <c r="U445" t="str">
        <f>INDEX(Venues!$C:$C,MATCH(O445,Venues!$A:$A,0))</f>
        <v>Hyderabad</v>
      </c>
      <c r="V445" t="str">
        <f>IF(L445&gt;0,L445&amp;" runs",IF(M445&gt;0,M445&amp;" wickets","-"))</f>
        <v>7 wickets</v>
      </c>
      <c r="W445">
        <f>IF(G445=K445,1,0)</f>
        <v>0</v>
      </c>
      <c r="X445">
        <f>IF(L445&gt;0,L445,"")</f>
        <v/>
      </c>
      <c r="Y445">
        <f>IF(X445="","",IF(X445&gt;Stats!$B$15,"Outlier",""))</f>
        <v/>
      </c>
      <c r="Z445" t="str">
        <f>P445&amp;" vs "&amp;Q445</f>
        <v>Royal Challengers Bangalore vs Sunrisers Hyderabad</v>
      </c>
    </row>
    <row r="446" spans="1:26" x14ac:dyDescent="0.25">
      <c r="A446">
        <v>504</v>
      </c>
      <c r="B446">
        <v>2014</v>
      </c>
      <c r="C446" s="5">
        <v>41779</v>
      </c>
      <c r="D446" t="s">
        <v>172</v>
      </c>
      <c r="E446" t="s">
        <v>12</v>
      </c>
      <c r="F446" t="s">
        <v>32</v>
      </c>
      <c r="G446" t="s">
        <v>32</v>
      </c>
      <c r="H446" t="s">
        <v>173</v>
      </c>
      <c r="I446" t="s">
        <v>174</v>
      </c>
      <c r="J446">
        <v>0</v>
      </c>
      <c r="K446" t="s">
        <v>32</v>
      </c>
      <c r="L446">
        <v>0</v>
      </c>
      <c r="M446">
        <v>8</v>
      </c>
      <c r="N446" t="s">
        <v>253</v>
      </c>
      <c r="O446" t="s">
        <v>73</v>
      </c>
      <c r="P446" t="str">
        <f>INDEX(Teams!$B:$B,MATCH(E446,Teams!$A:$A,0))</f>
        <v>Chennai Super Kings</v>
      </c>
      <c r="Q446" t="str">
        <f>INDEX(Teams!$B:$B,MATCH(F446,Teams!$A:$A,0))</f>
        <v>Kolkata Knight Riders</v>
      </c>
      <c r="R446" t="str">
        <f>INDEX(Teams!$B:$B,MATCH(G446,Teams!$A:$A,0))</f>
        <v>Kolkata Knight Riders</v>
      </c>
      <c r="S446" t="str">
        <f>IF(K446="","No result",INDEX(Teams!$B:$B,MATCH(K446,Teams!$A:$A,0)))</f>
        <v>Kolkata Knight Riders</v>
      </c>
      <c r="T446" t="str">
        <f>INDEX(Venues!$B:$B,MATCH(O446,Venues!$A:$A,0))</f>
        <v>Eden Gardens</v>
      </c>
      <c r="U446" t="str">
        <f>INDEX(Venues!$C:$C,MATCH(O446,Venues!$A:$A,0))</f>
        <v>Kolkata</v>
      </c>
      <c r="V446" t="str">
        <f>IF(L446&gt;0,L446&amp;" runs",IF(M446&gt;0,M446&amp;" wickets","-"))</f>
        <v>8 wickets</v>
      </c>
      <c r="W446">
        <f>IF(G446=K446,1,0)</f>
        <v>1</v>
      </c>
      <c r="X446">
        <f>IF(L446&gt;0,L446,"")</f>
        <v/>
      </c>
      <c r="Y446">
        <f>IF(X446="","",IF(X446&gt;Stats!$B$15,"Outlier",""))</f>
        <v/>
      </c>
      <c r="Z446" t="str">
        <f>P446&amp;" vs "&amp;Q446</f>
        <v>Chennai Super Kings vs Kolkata Knight Riders</v>
      </c>
    </row>
    <row r="447" spans="1:26" x14ac:dyDescent="0.25">
      <c r="A447">
        <v>505</v>
      </c>
      <c r="B447">
        <v>2014</v>
      </c>
      <c r="C447" s="5">
        <v>41780</v>
      </c>
      <c r="D447" t="s">
        <v>172</v>
      </c>
      <c r="E447" t="s">
        <v>26</v>
      </c>
      <c r="F447" t="s">
        <v>35</v>
      </c>
      <c r="G447" t="s">
        <v>35</v>
      </c>
      <c r="H447" t="s">
        <v>173</v>
      </c>
      <c r="I447" t="s">
        <v>174</v>
      </c>
      <c r="J447">
        <v>0</v>
      </c>
      <c r="K447" t="s">
        <v>35</v>
      </c>
      <c r="L447">
        <v>0</v>
      </c>
      <c r="M447">
        <v>7</v>
      </c>
      <c r="N447" t="s">
        <v>340</v>
      </c>
      <c r="O447" t="s">
        <v>109</v>
      </c>
      <c r="P447" t="str">
        <f>INDEX(Teams!$B:$B,MATCH(E447,Teams!$A:$A,0))</f>
        <v>Kings XI Punjab</v>
      </c>
      <c r="Q447" t="str">
        <f>INDEX(Teams!$B:$B,MATCH(F447,Teams!$A:$A,0))</f>
        <v>Mumbai Indians</v>
      </c>
      <c r="R447" t="str">
        <f>INDEX(Teams!$B:$B,MATCH(G447,Teams!$A:$A,0))</f>
        <v>Mumbai Indians</v>
      </c>
      <c r="S447" t="str">
        <f>IF(K447="","No result",INDEX(Teams!$B:$B,MATCH(K447,Teams!$A:$A,0)))</f>
        <v>Mumbai Indians</v>
      </c>
      <c r="T447" t="str">
        <f>INDEX(Venues!$B:$B,MATCH(O447,Venues!$A:$A,0))</f>
        <v>Punjab Cricket Association IS Bindra Stadium</v>
      </c>
      <c r="U447" t="str">
        <f>INDEX(Venues!$C:$C,MATCH(O447,Venues!$A:$A,0))</f>
        <v>Chandigarh</v>
      </c>
      <c r="V447" t="str">
        <f>IF(L447&gt;0,L447&amp;" runs",IF(M447&gt;0,M447&amp;" wickets","-"))</f>
        <v>7 wickets</v>
      </c>
      <c r="W447">
        <f>IF(G447=K447,1,0)</f>
        <v>1</v>
      </c>
      <c r="X447">
        <f>IF(L447&gt;0,L447,"")</f>
        <v/>
      </c>
      <c r="Y447">
        <f>IF(X447="","",IF(X447&gt;Stats!$B$15,"Outlier",""))</f>
        <v/>
      </c>
      <c r="Z447" t="str">
        <f>P447&amp;" vs "&amp;Q447</f>
        <v>Kings XI Punjab vs Mumbai Indians</v>
      </c>
    </row>
    <row r="448" spans="1:26" x14ac:dyDescent="0.25">
      <c r="A448">
        <v>506</v>
      </c>
      <c r="B448">
        <v>2014</v>
      </c>
      <c r="C448" s="5">
        <v>41781</v>
      </c>
      <c r="D448" t="s">
        <v>172</v>
      </c>
      <c r="E448" t="s">
        <v>32</v>
      </c>
      <c r="F448" t="s">
        <v>46</v>
      </c>
      <c r="G448" t="s">
        <v>46</v>
      </c>
      <c r="H448" t="s">
        <v>173</v>
      </c>
      <c r="I448" t="s">
        <v>174</v>
      </c>
      <c r="J448">
        <v>0</v>
      </c>
      <c r="K448" t="s">
        <v>32</v>
      </c>
      <c r="L448">
        <v>30</v>
      </c>
      <c r="M448">
        <v>0</v>
      </c>
      <c r="N448" t="s">
        <v>253</v>
      </c>
      <c r="O448" t="s">
        <v>73</v>
      </c>
      <c r="P448" t="str">
        <f>INDEX(Teams!$B:$B,MATCH(E448,Teams!$A:$A,0))</f>
        <v>Kolkata Knight Riders</v>
      </c>
      <c r="Q448" t="str">
        <f>INDEX(Teams!$B:$B,MATCH(F448,Teams!$A:$A,0))</f>
        <v>Royal Challengers Bangalore</v>
      </c>
      <c r="R448" t="str">
        <f>INDEX(Teams!$B:$B,MATCH(G448,Teams!$A:$A,0))</f>
        <v>Royal Challengers Bangalore</v>
      </c>
      <c r="S448" t="str">
        <f>IF(K448="","No result",INDEX(Teams!$B:$B,MATCH(K448,Teams!$A:$A,0)))</f>
        <v>Kolkata Knight Riders</v>
      </c>
      <c r="T448" t="str">
        <f>INDEX(Venues!$B:$B,MATCH(O448,Venues!$A:$A,0))</f>
        <v>Eden Gardens</v>
      </c>
      <c r="U448" t="str">
        <f>INDEX(Venues!$C:$C,MATCH(O448,Venues!$A:$A,0))</f>
        <v>Kolkata</v>
      </c>
      <c r="V448" t="str">
        <f>IF(L448&gt;0,L448&amp;" runs",IF(M448&gt;0,M448&amp;" wickets","-"))</f>
        <v>30 runs</v>
      </c>
      <c r="W448">
        <f>IF(G448=K448,1,0)</f>
        <v>0</v>
      </c>
      <c r="X448">
        <f>IF(L448&gt;0,L448,"")</f>
        <v>30</v>
      </c>
      <c r="Y448">
        <f>IF(X448="","",IF(X448&gt;Stats!$B$15,"Outlier",""))</f>
        <v/>
      </c>
      <c r="Z448" t="str">
        <f>P448&amp;" vs "&amp;Q448</f>
        <v>Kolkata Knight Riders vs Royal Challengers Bangalore</v>
      </c>
    </row>
    <row r="449" spans="1:26" x14ac:dyDescent="0.25">
      <c r="A449">
        <v>507</v>
      </c>
      <c r="B449">
        <v>2014</v>
      </c>
      <c r="C449" s="5">
        <v>41781</v>
      </c>
      <c r="D449" t="s">
        <v>172</v>
      </c>
      <c r="E449" t="s">
        <v>12</v>
      </c>
      <c r="F449" t="s">
        <v>49</v>
      </c>
      <c r="G449" t="s">
        <v>49</v>
      </c>
      <c r="H449" t="s">
        <v>173</v>
      </c>
      <c r="I449" t="s">
        <v>174</v>
      </c>
      <c r="J449">
        <v>0</v>
      </c>
      <c r="K449" t="s">
        <v>49</v>
      </c>
      <c r="L449">
        <v>0</v>
      </c>
      <c r="M449">
        <v>6</v>
      </c>
      <c r="N449" t="s">
        <v>257</v>
      </c>
      <c r="O449" t="s">
        <v>86</v>
      </c>
      <c r="P449" t="str">
        <f>INDEX(Teams!$B:$B,MATCH(E449,Teams!$A:$A,0))</f>
        <v>Chennai Super Kings</v>
      </c>
      <c r="Q449" t="str">
        <f>INDEX(Teams!$B:$B,MATCH(F449,Teams!$A:$A,0))</f>
        <v>Sunrisers Hyderabad</v>
      </c>
      <c r="R449" t="str">
        <f>INDEX(Teams!$B:$B,MATCH(G449,Teams!$A:$A,0))</f>
        <v>Sunrisers Hyderabad</v>
      </c>
      <c r="S449" t="str">
        <f>IF(K449="","No result",INDEX(Teams!$B:$B,MATCH(K449,Teams!$A:$A,0)))</f>
        <v>Sunrisers Hyderabad</v>
      </c>
      <c r="T449" t="str">
        <f>INDEX(Venues!$B:$B,MATCH(O449,Venues!$A:$A,0))</f>
        <v>JSCA International Stadium Complex</v>
      </c>
      <c r="U449" t="str">
        <f>INDEX(Venues!$C:$C,MATCH(O449,Venues!$A:$A,0))</f>
        <v>Ranchi</v>
      </c>
      <c r="V449" t="str">
        <f>IF(L449&gt;0,L449&amp;" runs",IF(M449&gt;0,M449&amp;" wickets","-"))</f>
        <v>6 wickets</v>
      </c>
      <c r="W449">
        <f>IF(G449=K449,1,0)</f>
        <v>1</v>
      </c>
      <c r="X449">
        <f>IF(L449&gt;0,L449,"")</f>
        <v/>
      </c>
      <c r="Y449">
        <f>IF(X449="","",IF(X449&gt;Stats!$B$15,"Outlier",""))</f>
        <v/>
      </c>
      <c r="Z449" t="str">
        <f>P449&amp;" vs "&amp;Q449</f>
        <v>Chennai Super Kings vs Sunrisers Hyderabad</v>
      </c>
    </row>
    <row r="450" spans="1:26" x14ac:dyDescent="0.25">
      <c r="A450">
        <v>508</v>
      </c>
      <c r="B450">
        <v>2014</v>
      </c>
      <c r="C450" s="5">
        <v>41782</v>
      </c>
      <c r="D450" t="s">
        <v>172</v>
      </c>
      <c r="E450" t="s">
        <v>35</v>
      </c>
      <c r="F450" t="s">
        <v>20</v>
      </c>
      <c r="G450" t="s">
        <v>20</v>
      </c>
      <c r="H450" t="s">
        <v>173</v>
      </c>
      <c r="I450" t="s">
        <v>174</v>
      </c>
      <c r="J450">
        <v>0</v>
      </c>
      <c r="K450" t="s">
        <v>35</v>
      </c>
      <c r="L450">
        <v>15</v>
      </c>
      <c r="M450">
        <v>0</v>
      </c>
      <c r="N450" t="s">
        <v>177</v>
      </c>
      <c r="O450" t="s">
        <v>138</v>
      </c>
      <c r="P450" t="str">
        <f>INDEX(Teams!$B:$B,MATCH(E450,Teams!$A:$A,0))</f>
        <v>Mumbai Indians</v>
      </c>
      <c r="Q450" t="str">
        <f>INDEX(Teams!$B:$B,MATCH(F450,Teams!$A:$A,0))</f>
        <v>Delhi Capitals</v>
      </c>
      <c r="R450" t="str">
        <f>INDEX(Teams!$B:$B,MATCH(G450,Teams!$A:$A,0))</f>
        <v>Delhi Capitals</v>
      </c>
      <c r="S450" t="str">
        <f>IF(K450="","No result",INDEX(Teams!$B:$B,MATCH(K450,Teams!$A:$A,0)))</f>
        <v>Mumbai Indians</v>
      </c>
      <c r="T450" t="str">
        <f>INDEX(Venues!$B:$B,MATCH(O450,Venues!$A:$A,0))</f>
        <v>Wankhede Stadium</v>
      </c>
      <c r="U450" t="str">
        <f>INDEX(Venues!$C:$C,MATCH(O450,Venues!$A:$A,0))</f>
        <v>Mumbai</v>
      </c>
      <c r="V450" t="str">
        <f>IF(L450&gt;0,L450&amp;" runs",IF(M450&gt;0,M450&amp;" wickets","-"))</f>
        <v>15 runs</v>
      </c>
      <c r="W450">
        <f>IF(G450=K450,1,0)</f>
        <v>0</v>
      </c>
      <c r="X450">
        <f>IF(L450&gt;0,L450,"")</f>
        <v>15</v>
      </c>
      <c r="Y450">
        <f>IF(X450="","",IF(X450&gt;Stats!$B$15,"Outlier",""))</f>
        <v/>
      </c>
      <c r="Z450" t="str">
        <f>P450&amp;" vs "&amp;Q450</f>
        <v>Mumbai Indians vs Delhi Capitals</v>
      </c>
    </row>
    <row r="451" spans="1:26" x14ac:dyDescent="0.25">
      <c r="A451">
        <v>509</v>
      </c>
      <c r="B451">
        <v>2014</v>
      </c>
      <c r="C451" s="5">
        <v>41782</v>
      </c>
      <c r="D451" t="s">
        <v>172</v>
      </c>
      <c r="E451" t="s">
        <v>26</v>
      </c>
      <c r="F451" t="s">
        <v>41</v>
      </c>
      <c r="G451" t="s">
        <v>41</v>
      </c>
      <c r="H451" t="s">
        <v>173</v>
      </c>
      <c r="I451" t="s">
        <v>174</v>
      </c>
      <c r="J451">
        <v>0</v>
      </c>
      <c r="K451" t="s">
        <v>26</v>
      </c>
      <c r="L451">
        <v>16</v>
      </c>
      <c r="M451">
        <v>0</v>
      </c>
      <c r="N451" t="s">
        <v>192</v>
      </c>
      <c r="O451" t="s">
        <v>109</v>
      </c>
      <c r="P451" t="str">
        <f>INDEX(Teams!$B:$B,MATCH(E451,Teams!$A:$A,0))</f>
        <v>Kings XI Punjab</v>
      </c>
      <c r="Q451" t="str">
        <f>INDEX(Teams!$B:$B,MATCH(F451,Teams!$A:$A,0))</f>
        <v>Rajasthan Royals</v>
      </c>
      <c r="R451" t="str">
        <f>INDEX(Teams!$B:$B,MATCH(G451,Teams!$A:$A,0))</f>
        <v>Rajasthan Royals</v>
      </c>
      <c r="S451" t="str">
        <f>IF(K451="","No result",INDEX(Teams!$B:$B,MATCH(K451,Teams!$A:$A,0)))</f>
        <v>Kings XI Punjab</v>
      </c>
      <c r="T451" t="str">
        <f>INDEX(Venues!$B:$B,MATCH(O451,Venues!$A:$A,0))</f>
        <v>Punjab Cricket Association IS Bindra Stadium</v>
      </c>
      <c r="U451" t="str">
        <f>INDEX(Venues!$C:$C,MATCH(O451,Venues!$A:$A,0))</f>
        <v>Chandigarh</v>
      </c>
      <c r="V451" t="str">
        <f>IF(L451&gt;0,L451&amp;" runs",IF(M451&gt;0,M451&amp;" wickets","-"))</f>
        <v>16 runs</v>
      </c>
      <c r="W451">
        <f>IF(G451=K451,1,0)</f>
        <v>0</v>
      </c>
      <c r="X451">
        <f>IF(L451&gt;0,L451,"")</f>
        <v>16</v>
      </c>
      <c r="Y451">
        <f>IF(X451="","",IF(X451&gt;Stats!$B$15,"Outlier",""))</f>
        <v/>
      </c>
      <c r="Z451" t="str">
        <f>P451&amp;" vs "&amp;Q451</f>
        <v>Kings XI Punjab vs Rajasthan Royals</v>
      </c>
    </row>
    <row r="452" spans="1:26" x14ac:dyDescent="0.25">
      <c r="A452">
        <v>510</v>
      </c>
      <c r="B452">
        <v>2014</v>
      </c>
      <c r="C452" s="5">
        <v>41783</v>
      </c>
      <c r="D452" t="s">
        <v>172</v>
      </c>
      <c r="E452" t="s">
        <v>46</v>
      </c>
      <c r="F452" t="s">
        <v>12</v>
      </c>
      <c r="G452" t="s">
        <v>12</v>
      </c>
      <c r="H452" t="s">
        <v>173</v>
      </c>
      <c r="I452" t="s">
        <v>174</v>
      </c>
      <c r="J452">
        <v>0</v>
      </c>
      <c r="K452" t="s">
        <v>12</v>
      </c>
      <c r="L452">
        <v>0</v>
      </c>
      <c r="M452">
        <v>8</v>
      </c>
      <c r="N452" t="s">
        <v>189</v>
      </c>
      <c r="O452" t="s">
        <v>92</v>
      </c>
      <c r="P452" t="str">
        <f>INDEX(Teams!$B:$B,MATCH(E452,Teams!$A:$A,0))</f>
        <v>Royal Challengers Bangalore</v>
      </c>
      <c r="Q452" t="str">
        <f>INDEX(Teams!$B:$B,MATCH(F452,Teams!$A:$A,0))</f>
        <v>Chennai Super Kings</v>
      </c>
      <c r="R452" t="str">
        <f>INDEX(Teams!$B:$B,MATCH(G452,Teams!$A:$A,0))</f>
        <v>Chennai Super Kings</v>
      </c>
      <c r="S452" t="str">
        <f>IF(K452="","No result",INDEX(Teams!$B:$B,MATCH(K452,Teams!$A:$A,0)))</f>
        <v>Chennai Super Kings</v>
      </c>
      <c r="T452" t="str">
        <f>INDEX(Venues!$B:$B,MATCH(O452,Venues!$A:$A,0))</f>
        <v>M Chinnaswamy Stadium</v>
      </c>
      <c r="U452" t="str">
        <f>INDEX(Venues!$C:$C,MATCH(O452,Venues!$A:$A,0))</f>
        <v>Bangalore</v>
      </c>
      <c r="V452" t="str">
        <f>IF(L452&gt;0,L452&amp;" runs",IF(M452&gt;0,M452&amp;" wickets","-"))</f>
        <v>8 wickets</v>
      </c>
      <c r="W452">
        <f>IF(G452=K452,1,0)</f>
        <v>1</v>
      </c>
      <c r="X452">
        <f>IF(L452&gt;0,L452,"")</f>
        <v/>
      </c>
      <c r="Y452">
        <f>IF(X452="","",IF(X452&gt;Stats!$B$15,"Outlier",""))</f>
        <v/>
      </c>
      <c r="Z452" t="str">
        <f>P452&amp;" vs "&amp;Q452</f>
        <v>Royal Challengers Bangalore vs Chennai Super Kings</v>
      </c>
    </row>
    <row r="453" spans="1:26" x14ac:dyDescent="0.25">
      <c r="A453">
        <v>511</v>
      </c>
      <c r="B453">
        <v>2014</v>
      </c>
      <c r="C453" s="5">
        <v>41783</v>
      </c>
      <c r="D453" t="s">
        <v>172</v>
      </c>
      <c r="E453" t="s">
        <v>49</v>
      </c>
      <c r="F453" t="s">
        <v>32</v>
      </c>
      <c r="G453" t="s">
        <v>32</v>
      </c>
      <c r="H453" t="s">
        <v>173</v>
      </c>
      <c r="I453" t="s">
        <v>174</v>
      </c>
      <c r="J453">
        <v>0</v>
      </c>
      <c r="K453" t="s">
        <v>32</v>
      </c>
      <c r="L453">
        <v>0</v>
      </c>
      <c r="M453">
        <v>4</v>
      </c>
      <c r="N453" t="s">
        <v>184</v>
      </c>
      <c r="O453" t="s">
        <v>73</v>
      </c>
      <c r="P453" t="str">
        <f>INDEX(Teams!$B:$B,MATCH(E453,Teams!$A:$A,0))</f>
        <v>Sunrisers Hyderabad</v>
      </c>
      <c r="Q453" t="str">
        <f>INDEX(Teams!$B:$B,MATCH(F453,Teams!$A:$A,0))</f>
        <v>Kolkata Knight Riders</v>
      </c>
      <c r="R453" t="str">
        <f>INDEX(Teams!$B:$B,MATCH(G453,Teams!$A:$A,0))</f>
        <v>Kolkata Knight Riders</v>
      </c>
      <c r="S453" t="str">
        <f>IF(K453="","No result",INDEX(Teams!$B:$B,MATCH(K453,Teams!$A:$A,0)))</f>
        <v>Kolkata Knight Riders</v>
      </c>
      <c r="T453" t="str">
        <f>INDEX(Venues!$B:$B,MATCH(O453,Venues!$A:$A,0))</f>
        <v>Eden Gardens</v>
      </c>
      <c r="U453" t="str">
        <f>INDEX(Venues!$C:$C,MATCH(O453,Venues!$A:$A,0))</f>
        <v>Kolkata</v>
      </c>
      <c r="V453" t="str">
        <f>IF(L453&gt;0,L453&amp;" runs",IF(M453&gt;0,M453&amp;" wickets","-"))</f>
        <v>4 wickets</v>
      </c>
      <c r="W453">
        <f>IF(G453=K453,1,0)</f>
        <v>1</v>
      </c>
      <c r="X453">
        <f>IF(L453&gt;0,L453,"")</f>
        <v/>
      </c>
      <c r="Y453">
        <f>IF(X453="","",IF(X453&gt;Stats!$B$15,"Outlier",""))</f>
        <v/>
      </c>
      <c r="Z453" t="str">
        <f>P453&amp;" vs "&amp;Q453</f>
        <v>Sunrisers Hyderabad vs Kolkata Knight Riders</v>
      </c>
    </row>
    <row r="454" spans="1:26" x14ac:dyDescent="0.25">
      <c r="A454">
        <v>512</v>
      </c>
      <c r="B454">
        <v>2014</v>
      </c>
      <c r="C454" s="5">
        <v>41784</v>
      </c>
      <c r="D454" t="s">
        <v>172</v>
      </c>
      <c r="E454" t="s">
        <v>20</v>
      </c>
      <c r="F454" t="s">
        <v>26</v>
      </c>
      <c r="G454" t="s">
        <v>26</v>
      </c>
      <c r="H454" t="s">
        <v>173</v>
      </c>
      <c r="I454" t="s">
        <v>174</v>
      </c>
      <c r="J454">
        <v>0</v>
      </c>
      <c r="K454" t="s">
        <v>26</v>
      </c>
      <c r="L454">
        <v>0</v>
      </c>
      <c r="M454">
        <v>7</v>
      </c>
      <c r="N454" t="s">
        <v>317</v>
      </c>
      <c r="O454" t="s">
        <v>109</v>
      </c>
      <c r="P454" t="str">
        <f>INDEX(Teams!$B:$B,MATCH(E454,Teams!$A:$A,0))</f>
        <v>Delhi Capitals</v>
      </c>
      <c r="Q454" t="str">
        <f>INDEX(Teams!$B:$B,MATCH(F454,Teams!$A:$A,0))</f>
        <v>Kings XI Punjab</v>
      </c>
      <c r="R454" t="str">
        <f>INDEX(Teams!$B:$B,MATCH(G454,Teams!$A:$A,0))</f>
        <v>Kings XI Punjab</v>
      </c>
      <c r="S454" t="str">
        <f>IF(K454="","No result",INDEX(Teams!$B:$B,MATCH(K454,Teams!$A:$A,0)))</f>
        <v>Kings XI Punjab</v>
      </c>
      <c r="T454" t="str">
        <f>INDEX(Venues!$B:$B,MATCH(O454,Venues!$A:$A,0))</f>
        <v>Punjab Cricket Association IS Bindra Stadium</v>
      </c>
      <c r="U454" t="str">
        <f>INDEX(Venues!$C:$C,MATCH(O454,Venues!$A:$A,0))</f>
        <v>Chandigarh</v>
      </c>
      <c r="V454" t="str">
        <f>IF(L454&gt;0,L454&amp;" runs",IF(M454&gt;0,M454&amp;" wickets","-"))</f>
        <v>7 wickets</v>
      </c>
      <c r="W454">
        <f>IF(G454=K454,1,0)</f>
        <v>1</v>
      </c>
      <c r="X454">
        <f>IF(L454&gt;0,L454,"")</f>
        <v/>
      </c>
      <c r="Y454">
        <f>IF(X454="","",IF(X454&gt;Stats!$B$15,"Outlier",""))</f>
        <v/>
      </c>
      <c r="Z454" t="str">
        <f>P454&amp;" vs "&amp;Q454</f>
        <v>Delhi Capitals vs Kings XI Punjab</v>
      </c>
    </row>
    <row r="455" spans="1:26" x14ac:dyDescent="0.25">
      <c r="A455">
        <v>513</v>
      </c>
      <c r="B455">
        <v>2014</v>
      </c>
      <c r="C455" s="5">
        <v>41784</v>
      </c>
      <c r="D455" t="s">
        <v>172</v>
      </c>
      <c r="E455" t="s">
        <v>41</v>
      </c>
      <c r="F455" t="s">
        <v>35</v>
      </c>
      <c r="G455" t="s">
        <v>35</v>
      </c>
      <c r="H455" t="s">
        <v>173</v>
      </c>
      <c r="I455" t="s">
        <v>174</v>
      </c>
      <c r="J455">
        <v>0</v>
      </c>
      <c r="K455" t="s">
        <v>35</v>
      </c>
      <c r="L455">
        <v>0</v>
      </c>
      <c r="M455">
        <v>5</v>
      </c>
      <c r="N455" t="s">
        <v>337</v>
      </c>
      <c r="O455" t="s">
        <v>138</v>
      </c>
      <c r="P455" t="str">
        <f>INDEX(Teams!$B:$B,MATCH(E455,Teams!$A:$A,0))</f>
        <v>Rajasthan Royals</v>
      </c>
      <c r="Q455" t="str">
        <f>INDEX(Teams!$B:$B,MATCH(F455,Teams!$A:$A,0))</f>
        <v>Mumbai Indians</v>
      </c>
      <c r="R455" t="str">
        <f>INDEX(Teams!$B:$B,MATCH(G455,Teams!$A:$A,0))</f>
        <v>Mumbai Indians</v>
      </c>
      <c r="S455" t="str">
        <f>IF(K455="","No result",INDEX(Teams!$B:$B,MATCH(K455,Teams!$A:$A,0)))</f>
        <v>Mumbai Indians</v>
      </c>
      <c r="T455" t="str">
        <f>INDEX(Venues!$B:$B,MATCH(O455,Venues!$A:$A,0))</f>
        <v>Wankhede Stadium</v>
      </c>
      <c r="U455" t="str">
        <f>INDEX(Venues!$C:$C,MATCH(O455,Venues!$A:$A,0))</f>
        <v>Mumbai</v>
      </c>
      <c r="V455" t="str">
        <f>IF(L455&gt;0,L455&amp;" runs",IF(M455&gt;0,M455&amp;" wickets","-"))</f>
        <v>5 wickets</v>
      </c>
      <c r="W455">
        <f>IF(G455=K455,1,0)</f>
        <v>1</v>
      </c>
      <c r="X455">
        <f>IF(L455&gt;0,L455,"")</f>
        <v/>
      </c>
      <c r="Y455">
        <f>IF(X455="","",IF(X455&gt;Stats!$B$15,"Outlier",""))</f>
        <v/>
      </c>
      <c r="Z455" t="str">
        <f>P455&amp;" vs "&amp;Q455</f>
        <v>Rajasthan Royals vs Mumbai Indians</v>
      </c>
    </row>
    <row r="456" spans="1:26" x14ac:dyDescent="0.25">
      <c r="A456">
        <v>514</v>
      </c>
      <c r="B456">
        <v>2014</v>
      </c>
      <c r="C456" s="5">
        <v>41786</v>
      </c>
      <c r="D456" t="s">
        <v>172</v>
      </c>
      <c r="E456" t="s">
        <v>32</v>
      </c>
      <c r="F456" t="s">
        <v>26</v>
      </c>
      <c r="G456" t="s">
        <v>26</v>
      </c>
      <c r="H456" t="s">
        <v>173</v>
      </c>
      <c r="I456" t="s">
        <v>174</v>
      </c>
      <c r="J456">
        <v>0</v>
      </c>
      <c r="K456" t="s">
        <v>32</v>
      </c>
      <c r="L456">
        <v>28</v>
      </c>
      <c r="M456">
        <v>0</v>
      </c>
      <c r="N456" t="s">
        <v>315</v>
      </c>
      <c r="O456" t="s">
        <v>73</v>
      </c>
      <c r="P456" t="str">
        <f>INDEX(Teams!$B:$B,MATCH(E456,Teams!$A:$A,0))</f>
        <v>Kolkata Knight Riders</v>
      </c>
      <c r="Q456" t="str">
        <f>INDEX(Teams!$B:$B,MATCH(F456,Teams!$A:$A,0))</f>
        <v>Kings XI Punjab</v>
      </c>
      <c r="R456" t="str">
        <f>INDEX(Teams!$B:$B,MATCH(G456,Teams!$A:$A,0))</f>
        <v>Kings XI Punjab</v>
      </c>
      <c r="S456" t="str">
        <f>IF(K456="","No result",INDEX(Teams!$B:$B,MATCH(K456,Teams!$A:$A,0)))</f>
        <v>Kolkata Knight Riders</v>
      </c>
      <c r="T456" t="str">
        <f>INDEX(Venues!$B:$B,MATCH(O456,Venues!$A:$A,0))</f>
        <v>Eden Gardens</v>
      </c>
      <c r="U456" t="str">
        <f>INDEX(Venues!$C:$C,MATCH(O456,Venues!$A:$A,0))</f>
        <v>Kolkata</v>
      </c>
      <c r="V456" t="str">
        <f>IF(L456&gt;0,L456&amp;" runs",IF(M456&gt;0,M456&amp;" wickets","-"))</f>
        <v>28 runs</v>
      </c>
      <c r="W456">
        <f>IF(G456=K456,1,0)</f>
        <v>0</v>
      </c>
      <c r="X456">
        <f>IF(L456&gt;0,L456,"")</f>
        <v>28</v>
      </c>
      <c r="Y456">
        <f>IF(X456="","",IF(X456&gt;Stats!$B$15,"Outlier",""))</f>
        <v/>
      </c>
      <c r="Z456" t="str">
        <f>P456&amp;" vs "&amp;Q456</f>
        <v>Kolkata Knight Riders vs Kings XI Punjab</v>
      </c>
    </row>
    <row r="457" spans="1:26" x14ac:dyDescent="0.25">
      <c r="A457">
        <v>515</v>
      </c>
      <c r="B457">
        <v>2014</v>
      </c>
      <c r="C457" s="5">
        <v>41787</v>
      </c>
      <c r="D457" t="s">
        <v>172</v>
      </c>
      <c r="E457" t="s">
        <v>35</v>
      </c>
      <c r="F457" t="s">
        <v>12</v>
      </c>
      <c r="G457" t="s">
        <v>12</v>
      </c>
      <c r="H457" t="s">
        <v>173</v>
      </c>
      <c r="I457" t="s">
        <v>174</v>
      </c>
      <c r="J457">
        <v>0</v>
      </c>
      <c r="K457" t="s">
        <v>12</v>
      </c>
      <c r="L457">
        <v>0</v>
      </c>
      <c r="M457">
        <v>7</v>
      </c>
      <c r="N457" t="s">
        <v>214</v>
      </c>
      <c r="O457" t="s">
        <v>57</v>
      </c>
      <c r="P457" t="str">
        <f>INDEX(Teams!$B:$B,MATCH(E457,Teams!$A:$A,0))</f>
        <v>Mumbai Indians</v>
      </c>
      <c r="Q457" t="str">
        <f>INDEX(Teams!$B:$B,MATCH(F457,Teams!$A:$A,0))</f>
        <v>Chennai Super Kings</v>
      </c>
      <c r="R457" t="str">
        <f>INDEX(Teams!$B:$B,MATCH(G457,Teams!$A:$A,0))</f>
        <v>Chennai Super Kings</v>
      </c>
      <c r="S457" t="str">
        <f>IF(K457="","No result",INDEX(Teams!$B:$B,MATCH(K457,Teams!$A:$A,0)))</f>
        <v>Chennai Super Kings</v>
      </c>
      <c r="T457" t="str">
        <f>INDEX(Venues!$B:$B,MATCH(O457,Venues!$A:$A,0))</f>
        <v>Brabourne Stadium</v>
      </c>
      <c r="U457" t="str">
        <f>INDEX(Venues!$C:$C,MATCH(O457,Venues!$A:$A,0))</f>
        <v>Mumbai</v>
      </c>
      <c r="V457" t="str">
        <f>IF(L457&gt;0,L457&amp;" runs",IF(M457&gt;0,M457&amp;" wickets","-"))</f>
        <v>7 wickets</v>
      </c>
      <c r="W457">
        <f>IF(G457=K457,1,0)</f>
        <v>1</v>
      </c>
      <c r="X457">
        <f>IF(L457&gt;0,L457,"")</f>
        <v/>
      </c>
      <c r="Y457">
        <f>IF(X457="","",IF(X457&gt;Stats!$B$15,"Outlier",""))</f>
        <v/>
      </c>
      <c r="Z457" t="str">
        <f>P457&amp;" vs "&amp;Q457</f>
        <v>Mumbai Indians vs Chennai Super Kings</v>
      </c>
    </row>
    <row r="458" spans="1:26" x14ac:dyDescent="0.25">
      <c r="A458">
        <v>516</v>
      </c>
      <c r="B458">
        <v>2014</v>
      </c>
      <c r="C458" s="5">
        <v>41789</v>
      </c>
      <c r="D458" t="s">
        <v>172</v>
      </c>
      <c r="E458" t="s">
        <v>26</v>
      </c>
      <c r="F458" t="s">
        <v>12</v>
      </c>
      <c r="G458" t="s">
        <v>12</v>
      </c>
      <c r="H458" t="s">
        <v>173</v>
      </c>
      <c r="I458" t="s">
        <v>174</v>
      </c>
      <c r="J458">
        <v>0</v>
      </c>
      <c r="K458" t="s">
        <v>26</v>
      </c>
      <c r="L458">
        <v>24</v>
      </c>
      <c r="M458">
        <v>0</v>
      </c>
      <c r="N458" t="s">
        <v>182</v>
      </c>
      <c r="O458" t="s">
        <v>138</v>
      </c>
      <c r="P458" t="str">
        <f>INDEX(Teams!$B:$B,MATCH(E458,Teams!$A:$A,0))</f>
        <v>Kings XI Punjab</v>
      </c>
      <c r="Q458" t="str">
        <f>INDEX(Teams!$B:$B,MATCH(F458,Teams!$A:$A,0))</f>
        <v>Chennai Super Kings</v>
      </c>
      <c r="R458" t="str">
        <f>INDEX(Teams!$B:$B,MATCH(G458,Teams!$A:$A,0))</f>
        <v>Chennai Super Kings</v>
      </c>
      <c r="S458" t="str">
        <f>IF(K458="","No result",INDEX(Teams!$B:$B,MATCH(K458,Teams!$A:$A,0)))</f>
        <v>Kings XI Punjab</v>
      </c>
      <c r="T458" t="str">
        <f>INDEX(Venues!$B:$B,MATCH(O458,Venues!$A:$A,0))</f>
        <v>Wankhede Stadium</v>
      </c>
      <c r="U458" t="str">
        <f>INDEX(Venues!$C:$C,MATCH(O458,Venues!$A:$A,0))</f>
        <v>Mumbai</v>
      </c>
      <c r="V458" t="str">
        <f>IF(L458&gt;0,L458&amp;" runs",IF(M458&gt;0,M458&amp;" wickets","-"))</f>
        <v>24 runs</v>
      </c>
      <c r="W458">
        <f>IF(G458=K458,1,0)</f>
        <v>0</v>
      </c>
      <c r="X458">
        <f>IF(L458&gt;0,L458,"")</f>
        <v>24</v>
      </c>
      <c r="Y458">
        <f>IF(X458="","",IF(X458&gt;Stats!$B$15,"Outlier",""))</f>
        <v/>
      </c>
      <c r="Z458" t="str">
        <f>P458&amp;" vs "&amp;Q458</f>
        <v>Kings XI Punjab vs Chennai Super Kings</v>
      </c>
    </row>
    <row r="459" spans="1:26" x14ac:dyDescent="0.25">
      <c r="A459">
        <v>517</v>
      </c>
      <c r="B459">
        <v>2014</v>
      </c>
      <c r="C459" s="5">
        <v>41791</v>
      </c>
      <c r="D459" t="s">
        <v>216</v>
      </c>
      <c r="E459" t="s">
        <v>26</v>
      </c>
      <c r="F459" t="s">
        <v>32</v>
      </c>
      <c r="G459" t="s">
        <v>32</v>
      </c>
      <c r="H459" t="s">
        <v>173</v>
      </c>
      <c r="I459" t="s">
        <v>174</v>
      </c>
      <c r="J459">
        <v>0</v>
      </c>
      <c r="K459" t="s">
        <v>32</v>
      </c>
      <c r="L459">
        <v>0</v>
      </c>
      <c r="M459">
        <v>3</v>
      </c>
      <c r="N459" t="s">
        <v>246</v>
      </c>
      <c r="O459" t="s">
        <v>92</v>
      </c>
      <c r="P459" t="str">
        <f>INDEX(Teams!$B:$B,MATCH(E459,Teams!$A:$A,0))</f>
        <v>Kings XI Punjab</v>
      </c>
      <c r="Q459" t="str">
        <f>INDEX(Teams!$B:$B,MATCH(F459,Teams!$A:$A,0))</f>
        <v>Kolkata Knight Riders</v>
      </c>
      <c r="R459" t="str">
        <f>INDEX(Teams!$B:$B,MATCH(G459,Teams!$A:$A,0))</f>
        <v>Kolkata Knight Riders</v>
      </c>
      <c r="S459" t="str">
        <f>IF(K459="","No result",INDEX(Teams!$B:$B,MATCH(K459,Teams!$A:$A,0)))</f>
        <v>Kolkata Knight Riders</v>
      </c>
      <c r="T459" t="str">
        <f>INDEX(Venues!$B:$B,MATCH(O459,Venues!$A:$A,0))</f>
        <v>M Chinnaswamy Stadium</v>
      </c>
      <c r="U459" t="str">
        <f>INDEX(Venues!$C:$C,MATCH(O459,Venues!$A:$A,0))</f>
        <v>Bangalore</v>
      </c>
      <c r="V459" t="str">
        <f>IF(L459&gt;0,L459&amp;" runs",IF(M459&gt;0,M459&amp;" wickets","-"))</f>
        <v>3 wickets</v>
      </c>
      <c r="W459">
        <f>IF(G459=K459,1,0)</f>
        <v>1</v>
      </c>
      <c r="X459">
        <f>IF(L459&gt;0,L459,"")</f>
        <v/>
      </c>
      <c r="Y459">
        <f>IF(X459="","",IF(X459&gt;Stats!$B$15,"Outlier",""))</f>
        <v/>
      </c>
      <c r="Z459" t="str">
        <f>P459&amp;" vs "&amp;Q459</f>
        <v>Kings XI Punjab vs Kolkata Knight Riders</v>
      </c>
    </row>
    <row r="460" spans="1:26" x14ac:dyDescent="0.25">
      <c r="A460">
        <v>518</v>
      </c>
      <c r="B460">
        <v>2015</v>
      </c>
      <c r="C460" s="5">
        <v>42102</v>
      </c>
      <c r="D460" t="s">
        <v>172</v>
      </c>
      <c r="E460" t="s">
        <v>35</v>
      </c>
      <c r="F460" t="s">
        <v>32</v>
      </c>
      <c r="G460" t="s">
        <v>32</v>
      </c>
      <c r="H460" t="s">
        <v>173</v>
      </c>
      <c r="I460" t="s">
        <v>174</v>
      </c>
      <c r="J460">
        <v>0</v>
      </c>
      <c r="K460" t="s">
        <v>32</v>
      </c>
      <c r="L460">
        <v>0</v>
      </c>
      <c r="M460">
        <v>7</v>
      </c>
      <c r="N460" t="s">
        <v>301</v>
      </c>
      <c r="O460" t="s">
        <v>73</v>
      </c>
      <c r="P460" t="str">
        <f>INDEX(Teams!$B:$B,MATCH(E460,Teams!$A:$A,0))</f>
        <v>Mumbai Indians</v>
      </c>
      <c r="Q460" t="str">
        <f>INDEX(Teams!$B:$B,MATCH(F460,Teams!$A:$A,0))</f>
        <v>Kolkata Knight Riders</v>
      </c>
      <c r="R460" t="str">
        <f>INDEX(Teams!$B:$B,MATCH(G460,Teams!$A:$A,0))</f>
        <v>Kolkata Knight Riders</v>
      </c>
      <c r="S460" t="str">
        <f>IF(K460="","No result",INDEX(Teams!$B:$B,MATCH(K460,Teams!$A:$A,0)))</f>
        <v>Kolkata Knight Riders</v>
      </c>
      <c r="T460" t="str">
        <f>INDEX(Venues!$B:$B,MATCH(O460,Venues!$A:$A,0))</f>
        <v>Eden Gardens</v>
      </c>
      <c r="U460" t="str">
        <f>INDEX(Venues!$C:$C,MATCH(O460,Venues!$A:$A,0))</f>
        <v>Kolkata</v>
      </c>
      <c r="V460" t="str">
        <f>IF(L460&gt;0,L460&amp;" runs",IF(M460&gt;0,M460&amp;" wickets","-"))</f>
        <v>7 wickets</v>
      </c>
      <c r="W460">
        <f>IF(G460=K460,1,0)</f>
        <v>1</v>
      </c>
      <c r="X460">
        <f>IF(L460&gt;0,L460,"")</f>
        <v/>
      </c>
      <c r="Y460">
        <f>IF(X460="","",IF(X460&gt;Stats!$B$15,"Outlier",""))</f>
        <v/>
      </c>
      <c r="Z460" t="str">
        <f>P460&amp;" vs "&amp;Q460</f>
        <v>Mumbai Indians vs Kolkata Knight Riders</v>
      </c>
    </row>
    <row r="461" spans="1:26" x14ac:dyDescent="0.25">
      <c r="A461">
        <v>519</v>
      </c>
      <c r="B461">
        <v>2015</v>
      </c>
      <c r="C461" s="5">
        <v>42103</v>
      </c>
      <c r="D461" t="s">
        <v>172</v>
      </c>
      <c r="E461" t="s">
        <v>12</v>
      </c>
      <c r="F461" t="s">
        <v>20</v>
      </c>
      <c r="G461" t="s">
        <v>20</v>
      </c>
      <c r="H461" t="s">
        <v>173</v>
      </c>
      <c r="I461" t="s">
        <v>174</v>
      </c>
      <c r="J461">
        <v>0</v>
      </c>
      <c r="K461" t="s">
        <v>12</v>
      </c>
      <c r="L461">
        <v>1</v>
      </c>
      <c r="M461">
        <v>0</v>
      </c>
      <c r="N461" t="s">
        <v>199</v>
      </c>
      <c r="O461" t="s">
        <v>94</v>
      </c>
      <c r="P461" t="str">
        <f>INDEX(Teams!$B:$B,MATCH(E461,Teams!$A:$A,0))</f>
        <v>Chennai Super Kings</v>
      </c>
      <c r="Q461" t="str">
        <f>INDEX(Teams!$B:$B,MATCH(F461,Teams!$A:$A,0))</f>
        <v>Delhi Capitals</v>
      </c>
      <c r="R461" t="str">
        <f>INDEX(Teams!$B:$B,MATCH(G461,Teams!$A:$A,0))</f>
        <v>Delhi Capitals</v>
      </c>
      <c r="S461" t="str">
        <f>IF(K461="","No result",INDEX(Teams!$B:$B,MATCH(K461,Teams!$A:$A,0)))</f>
        <v>Chennai Super Kings</v>
      </c>
      <c r="T461" t="str">
        <f>INDEX(Venues!$B:$B,MATCH(O461,Venues!$A:$A,0))</f>
        <v>MA Chidambaram Stadium</v>
      </c>
      <c r="U461" t="str">
        <f>INDEX(Venues!$C:$C,MATCH(O461,Venues!$A:$A,0))</f>
        <v>Chennai</v>
      </c>
      <c r="V461" t="str">
        <f>IF(L461&gt;0,L461&amp;" runs",IF(M461&gt;0,M461&amp;" wickets","-"))</f>
        <v>1 runs</v>
      </c>
      <c r="W461">
        <f>IF(G461=K461,1,0)</f>
        <v>0</v>
      </c>
      <c r="X461">
        <f>IF(L461&gt;0,L461,"")</f>
        <v>1</v>
      </c>
      <c r="Y461">
        <f>IF(X461="","",IF(X461&gt;Stats!$B$15,"Outlier",""))</f>
        <v/>
      </c>
      <c r="Z461" t="str">
        <f>P461&amp;" vs "&amp;Q461</f>
        <v>Chennai Super Kings vs Delhi Capitals</v>
      </c>
    </row>
    <row r="462" spans="1:26" x14ac:dyDescent="0.25">
      <c r="A462">
        <v>520</v>
      </c>
      <c r="B462">
        <v>2015</v>
      </c>
      <c r="C462" s="5">
        <v>42104</v>
      </c>
      <c r="D462" t="s">
        <v>172</v>
      </c>
      <c r="E462" t="s">
        <v>41</v>
      </c>
      <c r="F462" t="s">
        <v>26</v>
      </c>
      <c r="G462" t="s">
        <v>26</v>
      </c>
      <c r="H462" t="s">
        <v>173</v>
      </c>
      <c r="I462" t="s">
        <v>174</v>
      </c>
      <c r="J462">
        <v>0</v>
      </c>
      <c r="K462" t="s">
        <v>41</v>
      </c>
      <c r="L462">
        <v>26</v>
      </c>
      <c r="M462">
        <v>0</v>
      </c>
      <c r="N462" t="s">
        <v>320</v>
      </c>
      <c r="O462" t="s">
        <v>96</v>
      </c>
      <c r="P462" t="str">
        <f>INDEX(Teams!$B:$B,MATCH(E462,Teams!$A:$A,0))</f>
        <v>Rajasthan Royals</v>
      </c>
      <c r="Q462" t="str">
        <f>INDEX(Teams!$B:$B,MATCH(F462,Teams!$A:$A,0))</f>
        <v>Kings XI Punjab</v>
      </c>
      <c r="R462" t="str">
        <f>INDEX(Teams!$B:$B,MATCH(G462,Teams!$A:$A,0))</f>
        <v>Kings XI Punjab</v>
      </c>
      <c r="S462" t="str">
        <f>IF(K462="","No result",INDEX(Teams!$B:$B,MATCH(K462,Teams!$A:$A,0)))</f>
        <v>Rajasthan Royals</v>
      </c>
      <c r="T462" t="str">
        <f>INDEX(Venues!$B:$B,MATCH(O462,Venues!$A:$A,0))</f>
        <v>Maharashtra Cricket Association Stadium</v>
      </c>
      <c r="U462" t="str">
        <f>INDEX(Venues!$C:$C,MATCH(O462,Venues!$A:$A,0))</f>
        <v>Pune</v>
      </c>
      <c r="V462" t="str">
        <f>IF(L462&gt;0,L462&amp;" runs",IF(M462&gt;0,M462&amp;" wickets","-"))</f>
        <v>26 runs</v>
      </c>
      <c r="W462">
        <f>IF(G462=K462,1,0)</f>
        <v>0</v>
      </c>
      <c r="X462">
        <f>IF(L462&gt;0,L462,"")</f>
        <v>26</v>
      </c>
      <c r="Y462">
        <f>IF(X462="","",IF(X462&gt;Stats!$B$15,"Outlier",""))</f>
        <v/>
      </c>
      <c r="Z462" t="str">
        <f>P462&amp;" vs "&amp;Q462</f>
        <v>Rajasthan Royals vs Kings XI Punjab</v>
      </c>
    </row>
    <row r="463" spans="1:26" x14ac:dyDescent="0.25">
      <c r="A463">
        <v>521</v>
      </c>
      <c r="B463">
        <v>2015</v>
      </c>
      <c r="C463" s="5">
        <v>42105</v>
      </c>
      <c r="D463" t="s">
        <v>172</v>
      </c>
      <c r="E463" t="s">
        <v>12</v>
      </c>
      <c r="F463" t="s">
        <v>49</v>
      </c>
      <c r="G463" t="s">
        <v>12</v>
      </c>
      <c r="H463" t="s">
        <v>176</v>
      </c>
      <c r="I463" t="s">
        <v>174</v>
      </c>
      <c r="J463">
        <v>0</v>
      </c>
      <c r="K463" t="s">
        <v>12</v>
      </c>
      <c r="L463">
        <v>45</v>
      </c>
      <c r="M463">
        <v>0</v>
      </c>
      <c r="N463" t="s">
        <v>175</v>
      </c>
      <c r="O463" t="s">
        <v>94</v>
      </c>
      <c r="P463" t="str">
        <f>INDEX(Teams!$B:$B,MATCH(E463,Teams!$A:$A,0))</f>
        <v>Chennai Super Kings</v>
      </c>
      <c r="Q463" t="str">
        <f>INDEX(Teams!$B:$B,MATCH(F463,Teams!$A:$A,0))</f>
        <v>Sunrisers Hyderabad</v>
      </c>
      <c r="R463" t="str">
        <f>INDEX(Teams!$B:$B,MATCH(G463,Teams!$A:$A,0))</f>
        <v>Chennai Super Kings</v>
      </c>
      <c r="S463" t="str">
        <f>IF(K463="","No result",INDEX(Teams!$B:$B,MATCH(K463,Teams!$A:$A,0)))</f>
        <v>Chennai Super Kings</v>
      </c>
      <c r="T463" t="str">
        <f>INDEX(Venues!$B:$B,MATCH(O463,Venues!$A:$A,0))</f>
        <v>MA Chidambaram Stadium</v>
      </c>
      <c r="U463" t="str">
        <f>INDEX(Venues!$C:$C,MATCH(O463,Venues!$A:$A,0))</f>
        <v>Chennai</v>
      </c>
      <c r="V463" t="str">
        <f>IF(L463&gt;0,L463&amp;" runs",IF(M463&gt;0,M463&amp;" wickets","-"))</f>
        <v>45 runs</v>
      </c>
      <c r="W463">
        <f>IF(G463=K463,1,0)</f>
        <v>1</v>
      </c>
      <c r="X463">
        <f>IF(L463&gt;0,L463,"")</f>
        <v>45</v>
      </c>
      <c r="Y463">
        <f>IF(X463="","",IF(X463&gt;Stats!$B$15,"Outlier",""))</f>
        <v/>
      </c>
      <c r="Z463" t="str">
        <f>P463&amp;" vs "&amp;Q463</f>
        <v>Chennai Super Kings vs Sunrisers Hyderabad</v>
      </c>
    </row>
    <row r="464" spans="1:26" x14ac:dyDescent="0.25">
      <c r="A464">
        <v>522</v>
      </c>
      <c r="B464">
        <v>2015</v>
      </c>
      <c r="C464" s="5">
        <v>42105</v>
      </c>
      <c r="D464" t="s">
        <v>172</v>
      </c>
      <c r="E464" t="s">
        <v>32</v>
      </c>
      <c r="F464" t="s">
        <v>46</v>
      </c>
      <c r="G464" t="s">
        <v>46</v>
      </c>
      <c r="H464" t="s">
        <v>173</v>
      </c>
      <c r="I464" t="s">
        <v>174</v>
      </c>
      <c r="J464">
        <v>0</v>
      </c>
      <c r="K464" t="s">
        <v>46</v>
      </c>
      <c r="L464">
        <v>0</v>
      </c>
      <c r="M464">
        <v>3</v>
      </c>
      <c r="N464" t="s">
        <v>222</v>
      </c>
      <c r="O464" t="s">
        <v>73</v>
      </c>
      <c r="P464" t="str">
        <f>INDEX(Teams!$B:$B,MATCH(E464,Teams!$A:$A,0))</f>
        <v>Kolkata Knight Riders</v>
      </c>
      <c r="Q464" t="str">
        <f>INDEX(Teams!$B:$B,MATCH(F464,Teams!$A:$A,0))</f>
        <v>Royal Challengers Bangalore</v>
      </c>
      <c r="R464" t="str">
        <f>INDEX(Teams!$B:$B,MATCH(G464,Teams!$A:$A,0))</f>
        <v>Royal Challengers Bangalore</v>
      </c>
      <c r="S464" t="str">
        <f>IF(K464="","No result",INDEX(Teams!$B:$B,MATCH(K464,Teams!$A:$A,0)))</f>
        <v>Royal Challengers Bangalore</v>
      </c>
      <c r="T464" t="str">
        <f>INDEX(Venues!$B:$B,MATCH(O464,Venues!$A:$A,0))</f>
        <v>Eden Gardens</v>
      </c>
      <c r="U464" t="str">
        <f>INDEX(Venues!$C:$C,MATCH(O464,Venues!$A:$A,0))</f>
        <v>Kolkata</v>
      </c>
      <c r="V464" t="str">
        <f>IF(L464&gt;0,L464&amp;" runs",IF(M464&gt;0,M464&amp;" wickets","-"))</f>
        <v>3 wickets</v>
      </c>
      <c r="W464">
        <f>IF(G464=K464,1,0)</f>
        <v>1</v>
      </c>
      <c r="X464">
        <f>IF(L464&gt;0,L464,"")</f>
        <v/>
      </c>
      <c r="Y464">
        <f>IF(X464="","",IF(X464&gt;Stats!$B$15,"Outlier",""))</f>
        <v/>
      </c>
      <c r="Z464" t="str">
        <f>P464&amp;" vs "&amp;Q464</f>
        <v>Kolkata Knight Riders vs Royal Challengers Bangalore</v>
      </c>
    </row>
    <row r="465" spans="1:26" x14ac:dyDescent="0.25">
      <c r="A465">
        <v>523</v>
      </c>
      <c r="B465">
        <v>2015</v>
      </c>
      <c r="C465" s="5">
        <v>42106</v>
      </c>
      <c r="D465" t="s">
        <v>172</v>
      </c>
      <c r="E465" t="s">
        <v>20</v>
      </c>
      <c r="F465" t="s">
        <v>41</v>
      </c>
      <c r="G465" t="s">
        <v>41</v>
      </c>
      <c r="H465" t="s">
        <v>173</v>
      </c>
      <c r="I465" t="s">
        <v>174</v>
      </c>
      <c r="J465">
        <v>0</v>
      </c>
      <c r="K465" t="s">
        <v>41</v>
      </c>
      <c r="L465">
        <v>0</v>
      </c>
      <c r="M465">
        <v>3</v>
      </c>
      <c r="N465" t="s">
        <v>341</v>
      </c>
      <c r="O465" t="s">
        <v>75</v>
      </c>
      <c r="P465" t="str">
        <f>INDEX(Teams!$B:$B,MATCH(E465,Teams!$A:$A,0))</f>
        <v>Delhi Capitals</v>
      </c>
      <c r="Q465" t="str">
        <f>INDEX(Teams!$B:$B,MATCH(F465,Teams!$A:$A,0))</f>
        <v>Rajasthan Royals</v>
      </c>
      <c r="R465" t="str">
        <f>INDEX(Teams!$B:$B,MATCH(G465,Teams!$A:$A,0))</f>
        <v>Rajasthan Royals</v>
      </c>
      <c r="S465" t="str">
        <f>IF(K465="","No result",INDEX(Teams!$B:$B,MATCH(K465,Teams!$A:$A,0)))</f>
        <v>Rajasthan Royals</v>
      </c>
      <c r="T465" t="str">
        <f>INDEX(Venues!$B:$B,MATCH(O465,Venues!$A:$A,0))</f>
        <v>Feroz Shah Kotla</v>
      </c>
      <c r="U465" t="str">
        <f>INDEX(Venues!$C:$C,MATCH(O465,Venues!$A:$A,0))</f>
        <v>Delhi</v>
      </c>
      <c r="V465" t="str">
        <f>IF(L465&gt;0,L465&amp;" runs",IF(M465&gt;0,M465&amp;" wickets","-"))</f>
        <v>3 wickets</v>
      </c>
      <c r="W465">
        <f>IF(G465=K465,1,0)</f>
        <v>1</v>
      </c>
      <c r="X465">
        <f>IF(L465&gt;0,L465,"")</f>
        <v/>
      </c>
      <c r="Y465">
        <f>IF(X465="","",IF(X465&gt;Stats!$B$15,"Outlier",""))</f>
        <v/>
      </c>
      <c r="Z465" t="str">
        <f>P465&amp;" vs "&amp;Q465</f>
        <v>Delhi Capitals vs Rajasthan Royals</v>
      </c>
    </row>
    <row r="466" spans="1:26" x14ac:dyDescent="0.25">
      <c r="A466">
        <v>524</v>
      </c>
      <c r="B466">
        <v>2015</v>
      </c>
      <c r="C466" s="5">
        <v>42106</v>
      </c>
      <c r="D466" t="s">
        <v>172</v>
      </c>
      <c r="E466" t="s">
        <v>26</v>
      </c>
      <c r="F466" t="s">
        <v>35</v>
      </c>
      <c r="G466" t="s">
        <v>35</v>
      </c>
      <c r="H466" t="s">
        <v>173</v>
      </c>
      <c r="I466" t="s">
        <v>174</v>
      </c>
      <c r="J466">
        <v>0</v>
      </c>
      <c r="K466" t="s">
        <v>26</v>
      </c>
      <c r="L466">
        <v>18</v>
      </c>
      <c r="M466">
        <v>0</v>
      </c>
      <c r="N466" t="s">
        <v>342</v>
      </c>
      <c r="O466" t="s">
        <v>138</v>
      </c>
      <c r="P466" t="str">
        <f>INDEX(Teams!$B:$B,MATCH(E466,Teams!$A:$A,0))</f>
        <v>Kings XI Punjab</v>
      </c>
      <c r="Q466" t="str">
        <f>INDEX(Teams!$B:$B,MATCH(F466,Teams!$A:$A,0))</f>
        <v>Mumbai Indians</v>
      </c>
      <c r="R466" t="str">
        <f>INDEX(Teams!$B:$B,MATCH(G466,Teams!$A:$A,0))</f>
        <v>Mumbai Indians</v>
      </c>
      <c r="S466" t="str">
        <f>IF(K466="","No result",INDEX(Teams!$B:$B,MATCH(K466,Teams!$A:$A,0)))</f>
        <v>Kings XI Punjab</v>
      </c>
      <c r="T466" t="str">
        <f>INDEX(Venues!$B:$B,MATCH(O466,Venues!$A:$A,0))</f>
        <v>Wankhede Stadium</v>
      </c>
      <c r="U466" t="str">
        <f>INDEX(Venues!$C:$C,MATCH(O466,Venues!$A:$A,0))</f>
        <v>Mumbai</v>
      </c>
      <c r="V466" t="str">
        <f>IF(L466&gt;0,L466&amp;" runs",IF(M466&gt;0,M466&amp;" wickets","-"))</f>
        <v>18 runs</v>
      </c>
      <c r="W466">
        <f>IF(G466=K466,1,0)</f>
        <v>0</v>
      </c>
      <c r="X466">
        <f>IF(L466&gt;0,L466,"")</f>
        <v>18</v>
      </c>
      <c r="Y466">
        <f>IF(X466="","",IF(X466&gt;Stats!$B$15,"Outlier",""))</f>
        <v/>
      </c>
      <c r="Z466" t="str">
        <f>P466&amp;" vs "&amp;Q466</f>
        <v>Kings XI Punjab vs Mumbai Indians</v>
      </c>
    </row>
    <row r="467" spans="1:26" x14ac:dyDescent="0.25">
      <c r="A467">
        <v>525</v>
      </c>
      <c r="B467">
        <v>2015</v>
      </c>
      <c r="C467" s="5">
        <v>42107</v>
      </c>
      <c r="D467" t="s">
        <v>172</v>
      </c>
      <c r="E467" t="s">
        <v>46</v>
      </c>
      <c r="F467" t="s">
        <v>49</v>
      </c>
      <c r="G467" t="s">
        <v>49</v>
      </c>
      <c r="H467" t="s">
        <v>173</v>
      </c>
      <c r="I467" t="s">
        <v>174</v>
      </c>
      <c r="J467">
        <v>0</v>
      </c>
      <c r="K467" t="s">
        <v>49</v>
      </c>
      <c r="L467">
        <v>0</v>
      </c>
      <c r="M467">
        <v>8</v>
      </c>
      <c r="N467" t="s">
        <v>257</v>
      </c>
      <c r="O467" t="s">
        <v>92</v>
      </c>
      <c r="P467" t="str">
        <f>INDEX(Teams!$B:$B,MATCH(E467,Teams!$A:$A,0))</f>
        <v>Royal Challengers Bangalore</v>
      </c>
      <c r="Q467" t="str">
        <f>INDEX(Teams!$B:$B,MATCH(F467,Teams!$A:$A,0))</f>
        <v>Sunrisers Hyderabad</v>
      </c>
      <c r="R467" t="str">
        <f>INDEX(Teams!$B:$B,MATCH(G467,Teams!$A:$A,0))</f>
        <v>Sunrisers Hyderabad</v>
      </c>
      <c r="S467" t="str">
        <f>IF(K467="","No result",INDEX(Teams!$B:$B,MATCH(K467,Teams!$A:$A,0)))</f>
        <v>Sunrisers Hyderabad</v>
      </c>
      <c r="T467" t="str">
        <f>INDEX(Venues!$B:$B,MATCH(O467,Venues!$A:$A,0))</f>
        <v>M Chinnaswamy Stadium</v>
      </c>
      <c r="U467" t="str">
        <f>INDEX(Venues!$C:$C,MATCH(O467,Venues!$A:$A,0))</f>
        <v>Bangalore</v>
      </c>
      <c r="V467" t="str">
        <f>IF(L467&gt;0,L467&amp;" runs",IF(M467&gt;0,M467&amp;" wickets","-"))</f>
        <v>8 wickets</v>
      </c>
      <c r="W467">
        <f>IF(G467=K467,1,0)</f>
        <v>1</v>
      </c>
      <c r="X467">
        <f>IF(L467&gt;0,L467,"")</f>
        <v/>
      </c>
      <c r="Y467">
        <f>IF(X467="","",IF(X467&gt;Stats!$B$15,"Outlier",""))</f>
        <v/>
      </c>
      <c r="Z467" t="str">
        <f>P467&amp;" vs "&amp;Q467</f>
        <v>Royal Challengers Bangalore vs Sunrisers Hyderabad</v>
      </c>
    </row>
    <row r="468" spans="1:26" x14ac:dyDescent="0.25">
      <c r="A468">
        <v>526</v>
      </c>
      <c r="B468">
        <v>2015</v>
      </c>
      <c r="C468" s="5">
        <v>42108</v>
      </c>
      <c r="D468" t="s">
        <v>172</v>
      </c>
      <c r="E468" t="s">
        <v>35</v>
      </c>
      <c r="F468" t="s">
        <v>41</v>
      </c>
      <c r="G468" t="s">
        <v>35</v>
      </c>
      <c r="H468" t="s">
        <v>176</v>
      </c>
      <c r="I468" t="s">
        <v>174</v>
      </c>
      <c r="J468">
        <v>0</v>
      </c>
      <c r="K468" t="s">
        <v>41</v>
      </c>
      <c r="L468">
        <v>0</v>
      </c>
      <c r="M468">
        <v>7</v>
      </c>
      <c r="N468" t="s">
        <v>297</v>
      </c>
      <c r="O468" t="s">
        <v>113</v>
      </c>
      <c r="P468" t="str">
        <f>INDEX(Teams!$B:$B,MATCH(E468,Teams!$A:$A,0))</f>
        <v>Mumbai Indians</v>
      </c>
      <c r="Q468" t="str">
        <f>INDEX(Teams!$B:$B,MATCH(F468,Teams!$A:$A,0))</f>
        <v>Rajasthan Royals</v>
      </c>
      <c r="R468" t="str">
        <f>INDEX(Teams!$B:$B,MATCH(G468,Teams!$A:$A,0))</f>
        <v>Mumbai Indians</v>
      </c>
      <c r="S468" t="str">
        <f>IF(K468="","No result",INDEX(Teams!$B:$B,MATCH(K468,Teams!$A:$A,0)))</f>
        <v>Rajasthan Royals</v>
      </c>
      <c r="T468" t="str">
        <f>INDEX(Venues!$B:$B,MATCH(O468,Venues!$A:$A,0))</f>
        <v>Sardar Patel Stadium</v>
      </c>
      <c r="U468" t="str">
        <f>INDEX(Venues!$C:$C,MATCH(O468,Venues!$A:$A,0))</f>
        <v>Ahmedabad</v>
      </c>
      <c r="V468" t="str">
        <f>IF(L468&gt;0,L468&amp;" runs",IF(M468&gt;0,M468&amp;" wickets","-"))</f>
        <v>7 wickets</v>
      </c>
      <c r="W468">
        <f>IF(G468=K468,1,0)</f>
        <v>0</v>
      </c>
      <c r="X468">
        <f>IF(L468&gt;0,L468,"")</f>
        <v/>
      </c>
      <c r="Y468">
        <f>IF(X468="","",IF(X468&gt;Stats!$B$15,"Outlier",""))</f>
        <v/>
      </c>
      <c r="Z468" t="str">
        <f>P468&amp;" vs "&amp;Q468</f>
        <v>Mumbai Indians vs Rajasthan Royals</v>
      </c>
    </row>
    <row r="469" spans="1:26" x14ac:dyDescent="0.25">
      <c r="A469">
        <v>528</v>
      </c>
      <c r="B469">
        <v>2015</v>
      </c>
      <c r="C469" s="5">
        <v>42109</v>
      </c>
      <c r="D469" t="s">
        <v>172</v>
      </c>
      <c r="E469" t="s">
        <v>26</v>
      </c>
      <c r="F469" t="s">
        <v>20</v>
      </c>
      <c r="G469" t="s">
        <v>26</v>
      </c>
      <c r="H469" t="s">
        <v>176</v>
      </c>
      <c r="I469" t="s">
        <v>174</v>
      </c>
      <c r="J469">
        <v>0</v>
      </c>
      <c r="K469" t="s">
        <v>20</v>
      </c>
      <c r="L469">
        <v>0</v>
      </c>
      <c r="M469">
        <v>5</v>
      </c>
      <c r="N469" t="s">
        <v>343</v>
      </c>
      <c r="O469" t="s">
        <v>96</v>
      </c>
      <c r="P469" t="str">
        <f>INDEX(Teams!$B:$B,MATCH(E469,Teams!$A:$A,0))</f>
        <v>Kings XI Punjab</v>
      </c>
      <c r="Q469" t="str">
        <f>INDEX(Teams!$B:$B,MATCH(F469,Teams!$A:$A,0))</f>
        <v>Delhi Capitals</v>
      </c>
      <c r="R469" t="str">
        <f>INDEX(Teams!$B:$B,MATCH(G469,Teams!$A:$A,0))</f>
        <v>Kings XI Punjab</v>
      </c>
      <c r="S469" t="str">
        <f>IF(K469="","No result",INDEX(Teams!$B:$B,MATCH(K469,Teams!$A:$A,0)))</f>
        <v>Delhi Capitals</v>
      </c>
      <c r="T469" t="str">
        <f>INDEX(Venues!$B:$B,MATCH(O469,Venues!$A:$A,0))</f>
        <v>Maharashtra Cricket Association Stadium</v>
      </c>
      <c r="U469" t="str">
        <f>INDEX(Venues!$C:$C,MATCH(O469,Venues!$A:$A,0))</f>
        <v>Pune</v>
      </c>
      <c r="V469" t="str">
        <f>IF(L469&gt;0,L469&amp;" runs",IF(M469&gt;0,M469&amp;" wickets","-"))</f>
        <v>5 wickets</v>
      </c>
      <c r="W469">
        <f>IF(G469=K469,1,0)</f>
        <v>0</v>
      </c>
      <c r="X469">
        <f>IF(L469&gt;0,L469,"")</f>
        <v/>
      </c>
      <c r="Y469">
        <f>IF(X469="","",IF(X469&gt;Stats!$B$15,"Outlier",""))</f>
        <v/>
      </c>
      <c r="Z469" t="str">
        <f>P469&amp;" vs "&amp;Q469</f>
        <v>Kings XI Punjab vs Delhi Capitals</v>
      </c>
    </row>
    <row r="470" spans="1:26" x14ac:dyDescent="0.25">
      <c r="A470">
        <v>529</v>
      </c>
      <c r="B470">
        <v>2015</v>
      </c>
      <c r="C470" s="5">
        <v>42110</v>
      </c>
      <c r="D470" t="s">
        <v>172</v>
      </c>
      <c r="E470" t="s">
        <v>49</v>
      </c>
      <c r="F470" t="s">
        <v>41</v>
      </c>
      <c r="G470" t="s">
        <v>41</v>
      </c>
      <c r="H470" t="s">
        <v>173</v>
      </c>
      <c r="I470" t="s">
        <v>174</v>
      </c>
      <c r="J470">
        <v>0</v>
      </c>
      <c r="K470" t="s">
        <v>41</v>
      </c>
      <c r="L470">
        <v>0</v>
      </c>
      <c r="M470">
        <v>6</v>
      </c>
      <c r="N470" t="s">
        <v>298</v>
      </c>
      <c r="O470" t="s">
        <v>67</v>
      </c>
      <c r="P470" t="str">
        <f>INDEX(Teams!$B:$B,MATCH(E470,Teams!$A:$A,0))</f>
        <v>Sunrisers Hyderabad</v>
      </c>
      <c r="Q470" t="str">
        <f>INDEX(Teams!$B:$B,MATCH(F470,Teams!$A:$A,0))</f>
        <v>Rajasthan Royals</v>
      </c>
      <c r="R470" t="str">
        <f>INDEX(Teams!$B:$B,MATCH(G470,Teams!$A:$A,0))</f>
        <v>Rajasthan Royals</v>
      </c>
      <c r="S470" t="str">
        <f>IF(K470="","No result",INDEX(Teams!$B:$B,MATCH(K470,Teams!$A:$A,0)))</f>
        <v>Rajasthan Royals</v>
      </c>
      <c r="T470" t="str">
        <f>INDEX(Venues!$B:$B,MATCH(O470,Venues!$A:$A,0))</f>
        <v>Dr. Y.S. Rajasekhara Reddy ACA-VDCA Cricket Stadium</v>
      </c>
      <c r="U470" t="str">
        <f>INDEX(Venues!$C:$C,MATCH(O470,Venues!$A:$A,0))</f>
        <v>Visakhapatnam</v>
      </c>
      <c r="V470" t="str">
        <f>IF(L470&gt;0,L470&amp;" runs",IF(M470&gt;0,M470&amp;" wickets","-"))</f>
        <v>6 wickets</v>
      </c>
      <c r="W470">
        <f>IF(G470=K470,1,0)</f>
        <v>1</v>
      </c>
      <c r="X470">
        <f>IF(L470&gt;0,L470,"")</f>
        <v/>
      </c>
      <c r="Y470">
        <f>IF(X470="","",IF(X470&gt;Stats!$B$15,"Outlier",""))</f>
        <v/>
      </c>
      <c r="Z470" t="str">
        <f>P470&amp;" vs "&amp;Q470</f>
        <v>Sunrisers Hyderabad vs Rajasthan Royals</v>
      </c>
    </row>
    <row r="471" spans="1:26" x14ac:dyDescent="0.25">
      <c r="A471">
        <v>530</v>
      </c>
      <c r="B471">
        <v>2015</v>
      </c>
      <c r="C471" s="5">
        <v>42111</v>
      </c>
      <c r="D471" t="s">
        <v>172</v>
      </c>
      <c r="E471" t="s">
        <v>35</v>
      </c>
      <c r="F471" t="s">
        <v>12</v>
      </c>
      <c r="G471" t="s">
        <v>35</v>
      </c>
      <c r="H471" t="s">
        <v>176</v>
      </c>
      <c r="I471" t="s">
        <v>174</v>
      </c>
      <c r="J471">
        <v>0</v>
      </c>
      <c r="K471" t="s">
        <v>12</v>
      </c>
      <c r="L471">
        <v>0</v>
      </c>
      <c r="M471">
        <v>6</v>
      </c>
      <c r="N471" t="s">
        <v>199</v>
      </c>
      <c r="O471" t="s">
        <v>138</v>
      </c>
      <c r="P471" t="str">
        <f>INDEX(Teams!$B:$B,MATCH(E471,Teams!$A:$A,0))</f>
        <v>Mumbai Indians</v>
      </c>
      <c r="Q471" t="str">
        <f>INDEX(Teams!$B:$B,MATCH(F471,Teams!$A:$A,0))</f>
        <v>Chennai Super Kings</v>
      </c>
      <c r="R471" t="str">
        <f>INDEX(Teams!$B:$B,MATCH(G471,Teams!$A:$A,0))</f>
        <v>Mumbai Indians</v>
      </c>
      <c r="S471" t="str">
        <f>IF(K471="","No result",INDEX(Teams!$B:$B,MATCH(K471,Teams!$A:$A,0)))</f>
        <v>Chennai Super Kings</v>
      </c>
      <c r="T471" t="str">
        <f>INDEX(Venues!$B:$B,MATCH(O471,Venues!$A:$A,0))</f>
        <v>Wankhede Stadium</v>
      </c>
      <c r="U471" t="str">
        <f>INDEX(Venues!$C:$C,MATCH(O471,Venues!$A:$A,0))</f>
        <v>Mumbai</v>
      </c>
      <c r="V471" t="str">
        <f>IF(L471&gt;0,L471&amp;" runs",IF(M471&gt;0,M471&amp;" wickets","-"))</f>
        <v>6 wickets</v>
      </c>
      <c r="W471">
        <f>IF(G471=K471,1,0)</f>
        <v>0</v>
      </c>
      <c r="X471">
        <f>IF(L471&gt;0,L471,"")</f>
        <v/>
      </c>
      <c r="Y471">
        <f>IF(X471="","",IF(X471&gt;Stats!$B$15,"Outlier",""))</f>
        <v/>
      </c>
      <c r="Z471" t="str">
        <f>P471&amp;" vs "&amp;Q471</f>
        <v>Mumbai Indians vs Chennai Super Kings</v>
      </c>
    </row>
    <row r="472" spans="1:26" x14ac:dyDescent="0.25">
      <c r="A472">
        <v>531</v>
      </c>
      <c r="B472">
        <v>2015</v>
      </c>
      <c r="C472" s="5">
        <v>42112</v>
      </c>
      <c r="D472" t="s">
        <v>172</v>
      </c>
      <c r="E472" t="s">
        <v>20</v>
      </c>
      <c r="F472" t="s">
        <v>49</v>
      </c>
      <c r="G472" t="s">
        <v>20</v>
      </c>
      <c r="H472" t="s">
        <v>176</v>
      </c>
      <c r="I472" t="s">
        <v>174</v>
      </c>
      <c r="J472">
        <v>0</v>
      </c>
      <c r="K472" t="s">
        <v>20</v>
      </c>
      <c r="L472">
        <v>4</v>
      </c>
      <c r="M472">
        <v>0</v>
      </c>
      <c r="N472" t="s">
        <v>230</v>
      </c>
      <c r="O472" t="s">
        <v>67</v>
      </c>
      <c r="P472" t="str">
        <f>INDEX(Teams!$B:$B,MATCH(E472,Teams!$A:$A,0))</f>
        <v>Delhi Capitals</v>
      </c>
      <c r="Q472" t="str">
        <f>INDEX(Teams!$B:$B,MATCH(F472,Teams!$A:$A,0))</f>
        <v>Sunrisers Hyderabad</v>
      </c>
      <c r="R472" t="str">
        <f>INDEX(Teams!$B:$B,MATCH(G472,Teams!$A:$A,0))</f>
        <v>Delhi Capitals</v>
      </c>
      <c r="S472" t="str">
        <f>IF(K472="","No result",INDEX(Teams!$B:$B,MATCH(K472,Teams!$A:$A,0)))</f>
        <v>Delhi Capitals</v>
      </c>
      <c r="T472" t="str">
        <f>INDEX(Venues!$B:$B,MATCH(O472,Venues!$A:$A,0))</f>
        <v>Dr. Y.S. Rajasekhara Reddy ACA-VDCA Cricket Stadium</v>
      </c>
      <c r="U472" t="str">
        <f>INDEX(Venues!$C:$C,MATCH(O472,Venues!$A:$A,0))</f>
        <v>Visakhapatnam</v>
      </c>
      <c r="V472" t="str">
        <f>IF(L472&gt;0,L472&amp;" runs",IF(M472&gt;0,M472&amp;" wickets","-"))</f>
        <v>4 runs</v>
      </c>
      <c r="W472">
        <f>IF(G472=K472,1,0)</f>
        <v>1</v>
      </c>
      <c r="X472">
        <f>IF(L472&gt;0,L472,"")</f>
        <v>4</v>
      </c>
      <c r="Y472">
        <f>IF(X472="","",IF(X472&gt;Stats!$B$15,"Outlier",""))</f>
        <v/>
      </c>
      <c r="Z472" t="str">
        <f>P472&amp;" vs "&amp;Q472</f>
        <v>Delhi Capitals vs Sunrisers Hyderabad</v>
      </c>
    </row>
    <row r="473" spans="1:26" x14ac:dyDescent="0.25">
      <c r="A473">
        <v>532</v>
      </c>
      <c r="B473">
        <v>2015</v>
      </c>
      <c r="C473" s="5">
        <v>42112</v>
      </c>
      <c r="D473" t="s">
        <v>172</v>
      </c>
      <c r="E473" t="s">
        <v>26</v>
      </c>
      <c r="F473" t="s">
        <v>32</v>
      </c>
      <c r="G473" t="s">
        <v>32</v>
      </c>
      <c r="H473" t="s">
        <v>173</v>
      </c>
      <c r="I473" t="s">
        <v>174</v>
      </c>
      <c r="J473">
        <v>0</v>
      </c>
      <c r="K473" t="s">
        <v>32</v>
      </c>
      <c r="L473">
        <v>0</v>
      </c>
      <c r="M473">
        <v>4</v>
      </c>
      <c r="N473" t="s">
        <v>344</v>
      </c>
      <c r="O473" t="s">
        <v>96</v>
      </c>
      <c r="P473" t="str">
        <f>INDEX(Teams!$B:$B,MATCH(E473,Teams!$A:$A,0))</f>
        <v>Kings XI Punjab</v>
      </c>
      <c r="Q473" t="str">
        <f>INDEX(Teams!$B:$B,MATCH(F473,Teams!$A:$A,0))</f>
        <v>Kolkata Knight Riders</v>
      </c>
      <c r="R473" t="str">
        <f>INDEX(Teams!$B:$B,MATCH(G473,Teams!$A:$A,0))</f>
        <v>Kolkata Knight Riders</v>
      </c>
      <c r="S473" t="str">
        <f>IF(K473="","No result",INDEX(Teams!$B:$B,MATCH(K473,Teams!$A:$A,0)))</f>
        <v>Kolkata Knight Riders</v>
      </c>
      <c r="T473" t="str">
        <f>INDEX(Venues!$B:$B,MATCH(O473,Venues!$A:$A,0))</f>
        <v>Maharashtra Cricket Association Stadium</v>
      </c>
      <c r="U473" t="str">
        <f>INDEX(Venues!$C:$C,MATCH(O473,Venues!$A:$A,0))</f>
        <v>Pune</v>
      </c>
      <c r="V473" t="str">
        <f>IF(L473&gt;0,L473&amp;" runs",IF(M473&gt;0,M473&amp;" wickets","-"))</f>
        <v>4 wickets</v>
      </c>
      <c r="W473">
        <f>IF(G473=K473,1,0)</f>
        <v>1</v>
      </c>
      <c r="X473">
        <f>IF(L473&gt;0,L473,"")</f>
        <v/>
      </c>
      <c r="Y473">
        <f>IF(X473="","",IF(X473&gt;Stats!$B$15,"Outlier",""))</f>
        <v/>
      </c>
      <c r="Z473" t="str">
        <f>P473&amp;" vs "&amp;Q473</f>
        <v>Kings XI Punjab vs Kolkata Knight Riders</v>
      </c>
    </row>
    <row r="474" spans="1:26" x14ac:dyDescent="0.25">
      <c r="A474">
        <v>533</v>
      </c>
      <c r="B474">
        <v>2015</v>
      </c>
      <c r="C474" s="5">
        <v>42113</v>
      </c>
      <c r="D474" t="s">
        <v>172</v>
      </c>
      <c r="E474" t="s">
        <v>12</v>
      </c>
      <c r="F474" t="s">
        <v>41</v>
      </c>
      <c r="G474" t="s">
        <v>12</v>
      </c>
      <c r="H474" t="s">
        <v>176</v>
      </c>
      <c r="I474" t="s">
        <v>174</v>
      </c>
      <c r="J474">
        <v>0</v>
      </c>
      <c r="K474" t="s">
        <v>41</v>
      </c>
      <c r="L474">
        <v>0</v>
      </c>
      <c r="M474">
        <v>8</v>
      </c>
      <c r="N474" t="s">
        <v>298</v>
      </c>
      <c r="O474" t="s">
        <v>113</v>
      </c>
      <c r="P474" t="str">
        <f>INDEX(Teams!$B:$B,MATCH(E474,Teams!$A:$A,0))</f>
        <v>Chennai Super Kings</v>
      </c>
      <c r="Q474" t="str">
        <f>INDEX(Teams!$B:$B,MATCH(F474,Teams!$A:$A,0))</f>
        <v>Rajasthan Royals</v>
      </c>
      <c r="R474" t="str">
        <f>INDEX(Teams!$B:$B,MATCH(G474,Teams!$A:$A,0))</f>
        <v>Chennai Super Kings</v>
      </c>
      <c r="S474" t="str">
        <f>IF(K474="","No result",INDEX(Teams!$B:$B,MATCH(K474,Teams!$A:$A,0)))</f>
        <v>Rajasthan Royals</v>
      </c>
      <c r="T474" t="str">
        <f>INDEX(Venues!$B:$B,MATCH(O474,Venues!$A:$A,0))</f>
        <v>Sardar Patel Stadium</v>
      </c>
      <c r="U474" t="str">
        <f>INDEX(Venues!$C:$C,MATCH(O474,Venues!$A:$A,0))</f>
        <v>Ahmedabad</v>
      </c>
      <c r="V474" t="str">
        <f>IF(L474&gt;0,L474&amp;" runs",IF(M474&gt;0,M474&amp;" wickets","-"))</f>
        <v>8 wickets</v>
      </c>
      <c r="W474">
        <f>IF(G474=K474,1,0)</f>
        <v>0</v>
      </c>
      <c r="X474">
        <f>IF(L474&gt;0,L474,"")</f>
        <v/>
      </c>
      <c r="Y474">
        <f>IF(X474="","",IF(X474&gt;Stats!$B$15,"Outlier",""))</f>
        <v/>
      </c>
      <c r="Z474" t="str">
        <f>P474&amp;" vs "&amp;Q474</f>
        <v>Chennai Super Kings vs Rajasthan Royals</v>
      </c>
    </row>
    <row r="475" spans="1:26" x14ac:dyDescent="0.25">
      <c r="A475">
        <v>534</v>
      </c>
      <c r="B475">
        <v>2015</v>
      </c>
      <c r="C475" s="5">
        <v>42113</v>
      </c>
      <c r="D475" t="s">
        <v>172</v>
      </c>
      <c r="E475" t="s">
        <v>35</v>
      </c>
      <c r="F475" t="s">
        <v>46</v>
      </c>
      <c r="G475" t="s">
        <v>46</v>
      </c>
      <c r="H475" t="s">
        <v>173</v>
      </c>
      <c r="I475" t="s">
        <v>174</v>
      </c>
      <c r="J475">
        <v>0</v>
      </c>
      <c r="K475" t="s">
        <v>35</v>
      </c>
      <c r="L475">
        <v>18</v>
      </c>
      <c r="M475">
        <v>0</v>
      </c>
      <c r="N475" t="s">
        <v>240</v>
      </c>
      <c r="O475" t="s">
        <v>92</v>
      </c>
      <c r="P475" t="str">
        <f>INDEX(Teams!$B:$B,MATCH(E475,Teams!$A:$A,0))</f>
        <v>Mumbai Indians</v>
      </c>
      <c r="Q475" t="str">
        <f>INDEX(Teams!$B:$B,MATCH(F475,Teams!$A:$A,0))</f>
        <v>Royal Challengers Bangalore</v>
      </c>
      <c r="R475" t="str">
        <f>INDEX(Teams!$B:$B,MATCH(G475,Teams!$A:$A,0))</f>
        <v>Royal Challengers Bangalore</v>
      </c>
      <c r="S475" t="str">
        <f>IF(K475="","No result",INDEX(Teams!$B:$B,MATCH(K475,Teams!$A:$A,0)))</f>
        <v>Mumbai Indians</v>
      </c>
      <c r="T475" t="str">
        <f>INDEX(Venues!$B:$B,MATCH(O475,Venues!$A:$A,0))</f>
        <v>M Chinnaswamy Stadium</v>
      </c>
      <c r="U475" t="str">
        <f>INDEX(Venues!$C:$C,MATCH(O475,Venues!$A:$A,0))</f>
        <v>Bangalore</v>
      </c>
      <c r="V475" t="str">
        <f>IF(L475&gt;0,L475&amp;" runs",IF(M475&gt;0,M475&amp;" wickets","-"))</f>
        <v>18 runs</v>
      </c>
      <c r="W475">
        <f>IF(G475=K475,1,0)</f>
        <v>0</v>
      </c>
      <c r="X475">
        <f>IF(L475&gt;0,L475,"")</f>
        <v>18</v>
      </c>
      <c r="Y475">
        <f>IF(X475="","",IF(X475&gt;Stats!$B$15,"Outlier",""))</f>
        <v/>
      </c>
      <c r="Z475" t="str">
        <f>P475&amp;" vs "&amp;Q475</f>
        <v>Mumbai Indians vs Royal Challengers Bangalore</v>
      </c>
    </row>
    <row r="476" spans="1:26" x14ac:dyDescent="0.25">
      <c r="A476">
        <v>535</v>
      </c>
      <c r="B476">
        <v>2015</v>
      </c>
      <c r="C476" s="5">
        <v>42114</v>
      </c>
      <c r="D476" t="s">
        <v>172</v>
      </c>
      <c r="E476" t="s">
        <v>20</v>
      </c>
      <c r="F476" t="s">
        <v>32</v>
      </c>
      <c r="G476" t="s">
        <v>32</v>
      </c>
      <c r="H476" t="s">
        <v>173</v>
      </c>
      <c r="I476" t="s">
        <v>174</v>
      </c>
      <c r="J476">
        <v>0</v>
      </c>
      <c r="K476" t="s">
        <v>32</v>
      </c>
      <c r="L476">
        <v>0</v>
      </c>
      <c r="M476">
        <v>6</v>
      </c>
      <c r="N476" t="s">
        <v>315</v>
      </c>
      <c r="O476" t="s">
        <v>75</v>
      </c>
      <c r="P476" t="str">
        <f>INDEX(Teams!$B:$B,MATCH(E476,Teams!$A:$A,0))</f>
        <v>Delhi Capitals</v>
      </c>
      <c r="Q476" t="str">
        <f>INDEX(Teams!$B:$B,MATCH(F476,Teams!$A:$A,0))</f>
        <v>Kolkata Knight Riders</v>
      </c>
      <c r="R476" t="str">
        <f>INDEX(Teams!$B:$B,MATCH(G476,Teams!$A:$A,0))</f>
        <v>Kolkata Knight Riders</v>
      </c>
      <c r="S476" t="str">
        <f>IF(K476="","No result",INDEX(Teams!$B:$B,MATCH(K476,Teams!$A:$A,0)))</f>
        <v>Kolkata Knight Riders</v>
      </c>
      <c r="T476" t="str">
        <f>INDEX(Venues!$B:$B,MATCH(O476,Venues!$A:$A,0))</f>
        <v>Feroz Shah Kotla</v>
      </c>
      <c r="U476" t="str">
        <f>INDEX(Venues!$C:$C,MATCH(O476,Venues!$A:$A,0))</f>
        <v>Delhi</v>
      </c>
      <c r="V476" t="str">
        <f>IF(L476&gt;0,L476&amp;" runs",IF(M476&gt;0,M476&amp;" wickets","-"))</f>
        <v>6 wickets</v>
      </c>
      <c r="W476">
        <f>IF(G476=K476,1,0)</f>
        <v>1</v>
      </c>
      <c r="X476">
        <f>IF(L476&gt;0,L476,"")</f>
        <v/>
      </c>
      <c r="Y476">
        <f>IF(X476="","",IF(X476&gt;Stats!$B$15,"Outlier",""))</f>
        <v/>
      </c>
      <c r="Z476" t="str">
        <f>P476&amp;" vs "&amp;Q476</f>
        <v>Delhi Capitals vs Kolkata Knight Riders</v>
      </c>
    </row>
    <row r="477" spans="1:26" x14ac:dyDescent="0.25">
      <c r="A477">
        <v>536</v>
      </c>
      <c r="B477">
        <v>2015</v>
      </c>
      <c r="C477" s="5">
        <v>42115</v>
      </c>
      <c r="D477" t="s">
        <v>172</v>
      </c>
      <c r="E477" t="s">
        <v>41</v>
      </c>
      <c r="F477" t="s">
        <v>26</v>
      </c>
      <c r="G477" t="s">
        <v>26</v>
      </c>
      <c r="H477" t="s">
        <v>173</v>
      </c>
      <c r="I477" t="s">
        <v>224</v>
      </c>
      <c r="J477">
        <v>0</v>
      </c>
      <c r="K477" t="s">
        <v>26</v>
      </c>
      <c r="L477">
        <v>0</v>
      </c>
      <c r="M477">
        <v>0</v>
      </c>
      <c r="N477" t="s">
        <v>192</v>
      </c>
      <c r="O477" t="s">
        <v>113</v>
      </c>
      <c r="P477" t="str">
        <f>INDEX(Teams!$B:$B,MATCH(E477,Teams!$A:$A,0))</f>
        <v>Rajasthan Royals</v>
      </c>
      <c r="Q477" t="str">
        <f>INDEX(Teams!$B:$B,MATCH(F477,Teams!$A:$A,0))</f>
        <v>Kings XI Punjab</v>
      </c>
      <c r="R477" t="str">
        <f>INDEX(Teams!$B:$B,MATCH(G477,Teams!$A:$A,0))</f>
        <v>Kings XI Punjab</v>
      </c>
      <c r="S477" t="str">
        <f>IF(K477="","No result",INDEX(Teams!$B:$B,MATCH(K477,Teams!$A:$A,0)))</f>
        <v>Kings XI Punjab</v>
      </c>
      <c r="T477" t="str">
        <f>INDEX(Venues!$B:$B,MATCH(O477,Venues!$A:$A,0))</f>
        <v>Sardar Patel Stadium</v>
      </c>
      <c r="U477" t="str">
        <f>INDEX(Venues!$C:$C,MATCH(O477,Venues!$A:$A,0))</f>
        <v>Ahmedabad</v>
      </c>
      <c r="V477" t="str">
        <f>IF(L477&gt;0,L477&amp;" runs",IF(M477&gt;0,M477&amp;" wickets","-"))</f>
        <v>-</v>
      </c>
      <c r="W477">
        <f>IF(G477=K477,1,0)</f>
        <v>1</v>
      </c>
      <c r="X477">
        <f>IF(L477&gt;0,L477,"")</f>
        <v/>
      </c>
      <c r="Y477">
        <f>IF(X477="","",IF(X477&gt;Stats!$B$15,"Outlier",""))</f>
        <v/>
      </c>
      <c r="Z477" t="str">
        <f>P477&amp;" vs "&amp;Q477</f>
        <v>Rajasthan Royals vs Kings XI Punjab</v>
      </c>
    </row>
    <row r="478" spans="1:26" x14ac:dyDescent="0.25">
      <c r="A478">
        <v>537</v>
      </c>
      <c r="B478">
        <v>2015</v>
      </c>
      <c r="C478" s="5">
        <v>42116</v>
      </c>
      <c r="D478" t="s">
        <v>172</v>
      </c>
      <c r="E478" t="s">
        <v>49</v>
      </c>
      <c r="F478" t="s">
        <v>32</v>
      </c>
      <c r="G478" t="s">
        <v>32</v>
      </c>
      <c r="H478" t="s">
        <v>173</v>
      </c>
      <c r="I478" t="s">
        <v>174</v>
      </c>
      <c r="J478">
        <v>1</v>
      </c>
      <c r="K478" t="s">
        <v>49</v>
      </c>
      <c r="L478">
        <v>16</v>
      </c>
      <c r="M478">
        <v>0</v>
      </c>
      <c r="N478" t="s">
        <v>257</v>
      </c>
      <c r="O478" t="s">
        <v>67</v>
      </c>
      <c r="P478" t="str">
        <f>INDEX(Teams!$B:$B,MATCH(E478,Teams!$A:$A,0))</f>
        <v>Sunrisers Hyderabad</v>
      </c>
      <c r="Q478" t="str">
        <f>INDEX(Teams!$B:$B,MATCH(F478,Teams!$A:$A,0))</f>
        <v>Kolkata Knight Riders</v>
      </c>
      <c r="R478" t="str">
        <f>INDEX(Teams!$B:$B,MATCH(G478,Teams!$A:$A,0))</f>
        <v>Kolkata Knight Riders</v>
      </c>
      <c r="S478" t="str">
        <f>IF(K478="","No result",INDEX(Teams!$B:$B,MATCH(K478,Teams!$A:$A,0)))</f>
        <v>Sunrisers Hyderabad</v>
      </c>
      <c r="T478" t="str">
        <f>INDEX(Venues!$B:$B,MATCH(O478,Venues!$A:$A,0))</f>
        <v>Dr. Y.S. Rajasekhara Reddy ACA-VDCA Cricket Stadium</v>
      </c>
      <c r="U478" t="str">
        <f>INDEX(Venues!$C:$C,MATCH(O478,Venues!$A:$A,0))</f>
        <v>Visakhapatnam</v>
      </c>
      <c r="V478" t="str">
        <f>IF(L478&gt;0,L478&amp;" runs",IF(M478&gt;0,M478&amp;" wickets","-"))</f>
        <v>16 runs</v>
      </c>
      <c r="W478">
        <f>IF(G478=K478,1,0)</f>
        <v>0</v>
      </c>
      <c r="X478">
        <f>IF(L478&gt;0,L478,"")</f>
        <v>16</v>
      </c>
      <c r="Y478">
        <f>IF(X478="","",IF(X478&gt;Stats!$B$15,"Outlier",""))</f>
        <v/>
      </c>
      <c r="Z478" t="str">
        <f>P478&amp;" vs "&amp;Q478</f>
        <v>Sunrisers Hyderabad vs Kolkata Knight Riders</v>
      </c>
    </row>
    <row r="479" spans="1:26" x14ac:dyDescent="0.25">
      <c r="A479">
        <v>538</v>
      </c>
      <c r="B479">
        <v>2015</v>
      </c>
      <c r="C479" s="5">
        <v>42116</v>
      </c>
      <c r="D479" t="s">
        <v>172</v>
      </c>
      <c r="E479" t="s">
        <v>12</v>
      </c>
      <c r="F479" t="s">
        <v>46</v>
      </c>
      <c r="G479" t="s">
        <v>46</v>
      </c>
      <c r="H479" t="s">
        <v>173</v>
      </c>
      <c r="I479" t="s">
        <v>174</v>
      </c>
      <c r="J479">
        <v>0</v>
      </c>
      <c r="K479" t="s">
        <v>12</v>
      </c>
      <c r="L479">
        <v>27</v>
      </c>
      <c r="M479">
        <v>0</v>
      </c>
      <c r="N479" t="s">
        <v>214</v>
      </c>
      <c r="O479" t="s">
        <v>92</v>
      </c>
      <c r="P479" t="str">
        <f>INDEX(Teams!$B:$B,MATCH(E479,Teams!$A:$A,0))</f>
        <v>Chennai Super Kings</v>
      </c>
      <c r="Q479" t="str">
        <f>INDEX(Teams!$B:$B,MATCH(F479,Teams!$A:$A,0))</f>
        <v>Royal Challengers Bangalore</v>
      </c>
      <c r="R479" t="str">
        <f>INDEX(Teams!$B:$B,MATCH(G479,Teams!$A:$A,0))</f>
        <v>Royal Challengers Bangalore</v>
      </c>
      <c r="S479" t="str">
        <f>IF(K479="","No result",INDEX(Teams!$B:$B,MATCH(K479,Teams!$A:$A,0)))</f>
        <v>Chennai Super Kings</v>
      </c>
      <c r="T479" t="str">
        <f>INDEX(Venues!$B:$B,MATCH(O479,Venues!$A:$A,0))</f>
        <v>M Chinnaswamy Stadium</v>
      </c>
      <c r="U479" t="str">
        <f>INDEX(Venues!$C:$C,MATCH(O479,Venues!$A:$A,0))</f>
        <v>Bangalore</v>
      </c>
      <c r="V479" t="str">
        <f>IF(L479&gt;0,L479&amp;" runs",IF(M479&gt;0,M479&amp;" wickets","-"))</f>
        <v>27 runs</v>
      </c>
      <c r="W479">
        <f>IF(G479=K479,1,0)</f>
        <v>0</v>
      </c>
      <c r="X479">
        <f>IF(L479&gt;0,L479,"")</f>
        <v>27</v>
      </c>
      <c r="Y479">
        <f>IF(X479="","",IF(X479&gt;Stats!$B$15,"Outlier",""))</f>
        <v/>
      </c>
      <c r="Z479" t="str">
        <f>P479&amp;" vs "&amp;Q479</f>
        <v>Chennai Super Kings vs Royal Challengers Bangalore</v>
      </c>
    </row>
    <row r="480" spans="1:26" x14ac:dyDescent="0.25">
      <c r="A480">
        <v>539</v>
      </c>
      <c r="B480">
        <v>2015</v>
      </c>
      <c r="C480" s="5">
        <v>42117</v>
      </c>
      <c r="D480" t="s">
        <v>172</v>
      </c>
      <c r="E480" t="s">
        <v>20</v>
      </c>
      <c r="F480" t="s">
        <v>35</v>
      </c>
      <c r="G480" t="s">
        <v>35</v>
      </c>
      <c r="H480" t="s">
        <v>173</v>
      </c>
      <c r="I480" t="s">
        <v>174</v>
      </c>
      <c r="J480">
        <v>0</v>
      </c>
      <c r="K480" t="s">
        <v>20</v>
      </c>
      <c r="L480">
        <v>37</v>
      </c>
      <c r="M480">
        <v>0</v>
      </c>
      <c r="N480" t="s">
        <v>345</v>
      </c>
      <c r="O480" t="s">
        <v>75</v>
      </c>
      <c r="P480" t="str">
        <f>INDEX(Teams!$B:$B,MATCH(E480,Teams!$A:$A,0))</f>
        <v>Delhi Capitals</v>
      </c>
      <c r="Q480" t="str">
        <f>INDEX(Teams!$B:$B,MATCH(F480,Teams!$A:$A,0))</f>
        <v>Mumbai Indians</v>
      </c>
      <c r="R480" t="str">
        <f>INDEX(Teams!$B:$B,MATCH(G480,Teams!$A:$A,0))</f>
        <v>Mumbai Indians</v>
      </c>
      <c r="S480" t="str">
        <f>IF(K480="","No result",INDEX(Teams!$B:$B,MATCH(K480,Teams!$A:$A,0)))</f>
        <v>Delhi Capitals</v>
      </c>
      <c r="T480" t="str">
        <f>INDEX(Venues!$B:$B,MATCH(O480,Venues!$A:$A,0))</f>
        <v>Feroz Shah Kotla</v>
      </c>
      <c r="U480" t="str">
        <f>INDEX(Venues!$C:$C,MATCH(O480,Venues!$A:$A,0))</f>
        <v>Delhi</v>
      </c>
      <c r="V480" t="str">
        <f>IF(L480&gt;0,L480&amp;" runs",IF(M480&gt;0,M480&amp;" wickets","-"))</f>
        <v>37 runs</v>
      </c>
      <c r="W480">
        <f>IF(G480=K480,1,0)</f>
        <v>0</v>
      </c>
      <c r="X480">
        <f>IF(L480&gt;0,L480,"")</f>
        <v>37</v>
      </c>
      <c r="Y480">
        <f>IF(X480="","",IF(X480&gt;Stats!$B$15,"Outlier",""))</f>
        <v/>
      </c>
      <c r="Z480" t="str">
        <f>P480&amp;" vs "&amp;Q480</f>
        <v>Delhi Capitals vs Mumbai Indians</v>
      </c>
    </row>
    <row r="481" spans="1:26" x14ac:dyDescent="0.25">
      <c r="A481">
        <v>540</v>
      </c>
      <c r="B481">
        <v>2015</v>
      </c>
      <c r="C481" s="5">
        <v>42118</v>
      </c>
      <c r="D481" t="s">
        <v>172</v>
      </c>
      <c r="E481" t="s">
        <v>41</v>
      </c>
      <c r="F481" t="s">
        <v>46</v>
      </c>
      <c r="G481" t="s">
        <v>46</v>
      </c>
      <c r="H481" t="s">
        <v>173</v>
      </c>
      <c r="I481" t="s">
        <v>174</v>
      </c>
      <c r="J481">
        <v>0</v>
      </c>
      <c r="K481" t="s">
        <v>46</v>
      </c>
      <c r="L481">
        <v>0</v>
      </c>
      <c r="M481">
        <v>9</v>
      </c>
      <c r="N481" t="s">
        <v>346</v>
      </c>
      <c r="O481" t="s">
        <v>113</v>
      </c>
      <c r="P481" t="str">
        <f>INDEX(Teams!$B:$B,MATCH(E481,Teams!$A:$A,0))</f>
        <v>Rajasthan Royals</v>
      </c>
      <c r="Q481" t="str">
        <f>INDEX(Teams!$B:$B,MATCH(F481,Teams!$A:$A,0))</f>
        <v>Royal Challengers Bangalore</v>
      </c>
      <c r="R481" t="str">
        <f>INDEX(Teams!$B:$B,MATCH(G481,Teams!$A:$A,0))</f>
        <v>Royal Challengers Bangalore</v>
      </c>
      <c r="S481" t="str">
        <f>IF(K481="","No result",INDEX(Teams!$B:$B,MATCH(K481,Teams!$A:$A,0)))</f>
        <v>Royal Challengers Bangalore</v>
      </c>
      <c r="T481" t="str">
        <f>INDEX(Venues!$B:$B,MATCH(O481,Venues!$A:$A,0))</f>
        <v>Sardar Patel Stadium</v>
      </c>
      <c r="U481" t="str">
        <f>INDEX(Venues!$C:$C,MATCH(O481,Venues!$A:$A,0))</f>
        <v>Ahmedabad</v>
      </c>
      <c r="V481" t="str">
        <f>IF(L481&gt;0,L481&amp;" runs",IF(M481&gt;0,M481&amp;" wickets","-"))</f>
        <v>9 wickets</v>
      </c>
      <c r="W481">
        <f>IF(G481=K481,1,0)</f>
        <v>1</v>
      </c>
      <c r="X481">
        <f>IF(L481&gt;0,L481,"")</f>
        <v/>
      </c>
      <c r="Y481">
        <f>IF(X481="","",IF(X481&gt;Stats!$B$15,"Outlier",""))</f>
        <v/>
      </c>
      <c r="Z481" t="str">
        <f>P481&amp;" vs "&amp;Q481</f>
        <v>Rajasthan Royals vs Royal Challengers Bangalore</v>
      </c>
    </row>
    <row r="482" spans="1:26" x14ac:dyDescent="0.25">
      <c r="A482">
        <v>541</v>
      </c>
      <c r="B482">
        <v>2015</v>
      </c>
      <c r="C482" s="5">
        <v>42119</v>
      </c>
      <c r="D482" t="s">
        <v>172</v>
      </c>
      <c r="E482" t="s">
        <v>35</v>
      </c>
      <c r="F482" t="s">
        <v>49</v>
      </c>
      <c r="G482" t="s">
        <v>35</v>
      </c>
      <c r="H482" t="s">
        <v>176</v>
      </c>
      <c r="I482" t="s">
        <v>174</v>
      </c>
      <c r="J482">
        <v>0</v>
      </c>
      <c r="K482" t="s">
        <v>35</v>
      </c>
      <c r="L482">
        <v>20</v>
      </c>
      <c r="M482">
        <v>0</v>
      </c>
      <c r="N482" t="s">
        <v>258</v>
      </c>
      <c r="O482" t="s">
        <v>138</v>
      </c>
      <c r="P482" t="str">
        <f>INDEX(Teams!$B:$B,MATCH(E482,Teams!$A:$A,0))</f>
        <v>Mumbai Indians</v>
      </c>
      <c r="Q482" t="str">
        <f>INDEX(Teams!$B:$B,MATCH(F482,Teams!$A:$A,0))</f>
        <v>Sunrisers Hyderabad</v>
      </c>
      <c r="R482" t="str">
        <f>INDEX(Teams!$B:$B,MATCH(G482,Teams!$A:$A,0))</f>
        <v>Mumbai Indians</v>
      </c>
      <c r="S482" t="str">
        <f>IF(K482="","No result",INDEX(Teams!$B:$B,MATCH(K482,Teams!$A:$A,0)))</f>
        <v>Mumbai Indians</v>
      </c>
      <c r="T482" t="str">
        <f>INDEX(Venues!$B:$B,MATCH(O482,Venues!$A:$A,0))</f>
        <v>Wankhede Stadium</v>
      </c>
      <c r="U482" t="str">
        <f>INDEX(Venues!$C:$C,MATCH(O482,Venues!$A:$A,0))</f>
        <v>Mumbai</v>
      </c>
      <c r="V482" t="str">
        <f>IF(L482&gt;0,L482&amp;" runs",IF(M482&gt;0,M482&amp;" wickets","-"))</f>
        <v>20 runs</v>
      </c>
      <c r="W482">
        <f>IF(G482=K482,1,0)</f>
        <v>1</v>
      </c>
      <c r="X482">
        <f>IF(L482&gt;0,L482,"")</f>
        <v>20</v>
      </c>
      <c r="Y482">
        <f>IF(X482="","",IF(X482&gt;Stats!$B$15,"Outlier",""))</f>
        <v/>
      </c>
      <c r="Z482" t="str">
        <f>P482&amp;" vs "&amp;Q482</f>
        <v>Mumbai Indians vs Sunrisers Hyderabad</v>
      </c>
    </row>
    <row r="483" spans="1:26" x14ac:dyDescent="0.25">
      <c r="A483">
        <v>542</v>
      </c>
      <c r="B483">
        <v>2015</v>
      </c>
      <c r="C483" s="5">
        <v>42119</v>
      </c>
      <c r="D483" t="s">
        <v>172</v>
      </c>
      <c r="E483" t="s">
        <v>12</v>
      </c>
      <c r="F483" t="s">
        <v>26</v>
      </c>
      <c r="G483" t="s">
        <v>12</v>
      </c>
      <c r="H483" t="s">
        <v>176</v>
      </c>
      <c r="I483" t="s">
        <v>174</v>
      </c>
      <c r="J483">
        <v>0</v>
      </c>
      <c r="K483" t="s">
        <v>12</v>
      </c>
      <c r="L483">
        <v>97</v>
      </c>
      <c r="M483">
        <v>0</v>
      </c>
      <c r="N483" t="s">
        <v>175</v>
      </c>
      <c r="O483" t="s">
        <v>94</v>
      </c>
      <c r="P483" t="str">
        <f>INDEX(Teams!$B:$B,MATCH(E483,Teams!$A:$A,0))</f>
        <v>Chennai Super Kings</v>
      </c>
      <c r="Q483" t="str">
        <f>INDEX(Teams!$B:$B,MATCH(F483,Teams!$A:$A,0))</f>
        <v>Kings XI Punjab</v>
      </c>
      <c r="R483" t="str">
        <f>INDEX(Teams!$B:$B,MATCH(G483,Teams!$A:$A,0))</f>
        <v>Chennai Super Kings</v>
      </c>
      <c r="S483" t="str">
        <f>IF(K483="","No result",INDEX(Teams!$B:$B,MATCH(K483,Teams!$A:$A,0)))</f>
        <v>Chennai Super Kings</v>
      </c>
      <c r="T483" t="str">
        <f>INDEX(Venues!$B:$B,MATCH(O483,Venues!$A:$A,0))</f>
        <v>MA Chidambaram Stadium</v>
      </c>
      <c r="U483" t="str">
        <f>INDEX(Venues!$C:$C,MATCH(O483,Venues!$A:$A,0))</f>
        <v>Chennai</v>
      </c>
      <c r="V483" t="str">
        <f>IF(L483&gt;0,L483&amp;" runs",IF(M483&gt;0,M483&amp;" wickets","-"))</f>
        <v>97 runs</v>
      </c>
      <c r="W483">
        <f>IF(G483=K483,1,0)</f>
        <v>1</v>
      </c>
      <c r="X483">
        <f>IF(L483&gt;0,L483,"")</f>
        <v>97</v>
      </c>
      <c r="Y483" t="str">
        <f>IF(X483="","",IF(X483&gt;Stats!$B$15,"Outlier",""))</f>
        <v>Outlier</v>
      </c>
      <c r="Z483" t="str">
        <f>P483&amp;" vs "&amp;Q483</f>
        <v>Chennai Super Kings vs Kings XI Punjab</v>
      </c>
    </row>
    <row r="484" spans="1:26" x14ac:dyDescent="0.25">
      <c r="A484">
        <v>543</v>
      </c>
      <c r="B484">
        <v>2015</v>
      </c>
      <c r="C484" s="5">
        <v>42120</v>
      </c>
      <c r="D484" t="s">
        <v>172</v>
      </c>
      <c r="E484" t="s">
        <v>20</v>
      </c>
      <c r="F484" t="s">
        <v>46</v>
      </c>
      <c r="G484" t="s">
        <v>46</v>
      </c>
      <c r="H484" t="s">
        <v>173</v>
      </c>
      <c r="I484" t="s">
        <v>174</v>
      </c>
      <c r="J484">
        <v>0</v>
      </c>
      <c r="K484" t="s">
        <v>46</v>
      </c>
      <c r="L484">
        <v>0</v>
      </c>
      <c r="M484">
        <v>10</v>
      </c>
      <c r="N484" t="s">
        <v>347</v>
      </c>
      <c r="O484" t="s">
        <v>75</v>
      </c>
      <c r="P484" t="str">
        <f>INDEX(Teams!$B:$B,MATCH(E484,Teams!$A:$A,0))</f>
        <v>Delhi Capitals</v>
      </c>
      <c r="Q484" t="str">
        <f>INDEX(Teams!$B:$B,MATCH(F484,Teams!$A:$A,0))</f>
        <v>Royal Challengers Bangalore</v>
      </c>
      <c r="R484" t="str">
        <f>INDEX(Teams!$B:$B,MATCH(G484,Teams!$A:$A,0))</f>
        <v>Royal Challengers Bangalore</v>
      </c>
      <c r="S484" t="str">
        <f>IF(K484="","No result",INDEX(Teams!$B:$B,MATCH(K484,Teams!$A:$A,0)))</f>
        <v>Royal Challengers Bangalore</v>
      </c>
      <c r="T484" t="str">
        <f>INDEX(Venues!$B:$B,MATCH(O484,Venues!$A:$A,0))</f>
        <v>Feroz Shah Kotla</v>
      </c>
      <c r="U484" t="str">
        <f>INDEX(Venues!$C:$C,MATCH(O484,Venues!$A:$A,0))</f>
        <v>Delhi</v>
      </c>
      <c r="V484" t="str">
        <f>IF(L484&gt;0,L484&amp;" runs",IF(M484&gt;0,M484&amp;" wickets","-"))</f>
        <v>10 wickets</v>
      </c>
      <c r="W484">
        <f>IF(G484=K484,1,0)</f>
        <v>1</v>
      </c>
      <c r="X484">
        <f>IF(L484&gt;0,L484,"")</f>
        <v/>
      </c>
      <c r="Y484">
        <f>IF(X484="","",IF(X484&gt;Stats!$B$15,"Outlier",""))</f>
        <v/>
      </c>
      <c r="Z484" t="str">
        <f>P484&amp;" vs "&amp;Q484</f>
        <v>Delhi Capitals vs Royal Challengers Bangalore</v>
      </c>
    </row>
    <row r="485" spans="1:26" x14ac:dyDescent="0.25">
      <c r="A485">
        <v>544</v>
      </c>
      <c r="B485">
        <v>2015</v>
      </c>
      <c r="C485" s="5">
        <v>42121</v>
      </c>
      <c r="D485" t="s">
        <v>172</v>
      </c>
      <c r="E485" t="s">
        <v>49</v>
      </c>
      <c r="F485" t="s">
        <v>26</v>
      </c>
      <c r="G485" t="s">
        <v>26</v>
      </c>
      <c r="H485" t="s">
        <v>173</v>
      </c>
      <c r="I485" t="s">
        <v>174</v>
      </c>
      <c r="J485">
        <v>0</v>
      </c>
      <c r="K485" t="s">
        <v>49</v>
      </c>
      <c r="L485">
        <v>20</v>
      </c>
      <c r="M485">
        <v>0</v>
      </c>
      <c r="N485" t="s">
        <v>348</v>
      </c>
      <c r="O485" t="s">
        <v>109</v>
      </c>
      <c r="P485" t="str">
        <f>INDEX(Teams!$B:$B,MATCH(E485,Teams!$A:$A,0))</f>
        <v>Sunrisers Hyderabad</v>
      </c>
      <c r="Q485" t="str">
        <f>INDEX(Teams!$B:$B,MATCH(F485,Teams!$A:$A,0))</f>
        <v>Kings XI Punjab</v>
      </c>
      <c r="R485" t="str">
        <f>INDEX(Teams!$B:$B,MATCH(G485,Teams!$A:$A,0))</f>
        <v>Kings XI Punjab</v>
      </c>
      <c r="S485" t="str">
        <f>IF(K485="","No result",INDEX(Teams!$B:$B,MATCH(K485,Teams!$A:$A,0)))</f>
        <v>Sunrisers Hyderabad</v>
      </c>
      <c r="T485" t="str">
        <f>INDEX(Venues!$B:$B,MATCH(O485,Venues!$A:$A,0))</f>
        <v>Punjab Cricket Association IS Bindra Stadium</v>
      </c>
      <c r="U485" t="str">
        <f>INDEX(Venues!$C:$C,MATCH(O485,Venues!$A:$A,0))</f>
        <v>Chandigarh</v>
      </c>
      <c r="V485" t="str">
        <f>IF(L485&gt;0,L485&amp;" runs",IF(M485&gt;0,M485&amp;" wickets","-"))</f>
        <v>20 runs</v>
      </c>
      <c r="W485">
        <f>IF(G485=K485,1,0)</f>
        <v>0</v>
      </c>
      <c r="X485">
        <f>IF(L485&gt;0,L485,"")</f>
        <v>20</v>
      </c>
      <c r="Y485">
        <f>IF(X485="","",IF(X485&gt;Stats!$B$15,"Outlier",""))</f>
        <v/>
      </c>
      <c r="Z485" t="str">
        <f>P485&amp;" vs "&amp;Q485</f>
        <v>Sunrisers Hyderabad vs Kings XI Punjab</v>
      </c>
    </row>
    <row r="486" spans="1:26" x14ac:dyDescent="0.25">
      <c r="A486">
        <v>547</v>
      </c>
      <c r="B486">
        <v>2015</v>
      </c>
      <c r="C486" s="5">
        <v>42122</v>
      </c>
      <c r="D486" t="s">
        <v>172</v>
      </c>
      <c r="E486" t="s">
        <v>12</v>
      </c>
      <c r="F486" t="s">
        <v>32</v>
      </c>
      <c r="G486" t="s">
        <v>32</v>
      </c>
      <c r="H486" t="s">
        <v>173</v>
      </c>
      <c r="I486" t="s">
        <v>174</v>
      </c>
      <c r="J486">
        <v>0</v>
      </c>
      <c r="K486" t="s">
        <v>12</v>
      </c>
      <c r="L486">
        <v>2</v>
      </c>
      <c r="M486">
        <v>0</v>
      </c>
      <c r="N486" t="s">
        <v>206</v>
      </c>
      <c r="O486" t="s">
        <v>94</v>
      </c>
      <c r="P486" t="str">
        <f>INDEX(Teams!$B:$B,MATCH(E486,Teams!$A:$A,0))</f>
        <v>Chennai Super Kings</v>
      </c>
      <c r="Q486" t="str">
        <f>INDEX(Teams!$B:$B,MATCH(F486,Teams!$A:$A,0))</f>
        <v>Kolkata Knight Riders</v>
      </c>
      <c r="R486" t="str">
        <f>INDEX(Teams!$B:$B,MATCH(G486,Teams!$A:$A,0))</f>
        <v>Kolkata Knight Riders</v>
      </c>
      <c r="S486" t="str">
        <f>IF(K486="","No result",INDEX(Teams!$B:$B,MATCH(K486,Teams!$A:$A,0)))</f>
        <v>Chennai Super Kings</v>
      </c>
      <c r="T486" t="str">
        <f>INDEX(Venues!$B:$B,MATCH(O486,Venues!$A:$A,0))</f>
        <v>MA Chidambaram Stadium</v>
      </c>
      <c r="U486" t="str">
        <f>INDEX(Venues!$C:$C,MATCH(O486,Venues!$A:$A,0))</f>
        <v>Chennai</v>
      </c>
      <c r="V486" t="str">
        <f>IF(L486&gt;0,L486&amp;" runs",IF(M486&gt;0,M486&amp;" wickets","-"))</f>
        <v>2 runs</v>
      </c>
      <c r="W486">
        <f>IF(G486=K486,1,0)</f>
        <v>0</v>
      </c>
      <c r="X486">
        <f>IF(L486&gt;0,L486,"")</f>
        <v>2</v>
      </c>
      <c r="Y486">
        <f>IF(X486="","",IF(X486&gt;Stats!$B$15,"Outlier",""))</f>
        <v/>
      </c>
      <c r="Z486" t="str">
        <f>P486&amp;" vs "&amp;Q486</f>
        <v>Chennai Super Kings vs Kolkata Knight Riders</v>
      </c>
    </row>
    <row r="487" spans="1:26" x14ac:dyDescent="0.25">
      <c r="A487">
        <v>546</v>
      </c>
      <c r="B487">
        <v>2015</v>
      </c>
      <c r="C487" s="5">
        <v>42123</v>
      </c>
      <c r="D487" t="s">
        <v>172</v>
      </c>
      <c r="E487" t="s">
        <v>46</v>
      </c>
      <c r="F487" t="s">
        <v>41</v>
      </c>
      <c r="G487" t="s">
        <v>41</v>
      </c>
      <c r="H487" t="s">
        <v>173</v>
      </c>
      <c r="I487" t="s">
        <v>293</v>
      </c>
      <c r="J487">
        <v>0</v>
      </c>
      <c r="L487">
        <v>0</v>
      </c>
      <c r="M487">
        <v>0</v>
      </c>
      <c r="N487" t="s">
        <v>294</v>
      </c>
      <c r="O487" t="s">
        <v>92</v>
      </c>
      <c r="P487" t="str">
        <f>INDEX(Teams!$B:$B,MATCH(E487,Teams!$A:$A,0))</f>
        <v>Royal Challengers Bangalore</v>
      </c>
      <c r="Q487" t="str">
        <f>INDEX(Teams!$B:$B,MATCH(F487,Teams!$A:$A,0))</f>
        <v>Rajasthan Royals</v>
      </c>
      <c r="R487" t="str">
        <f>INDEX(Teams!$B:$B,MATCH(G487,Teams!$A:$A,0))</f>
        <v>Rajasthan Royals</v>
      </c>
      <c r="S487" t="str">
        <f>IF(K487="","No result",INDEX(Teams!$B:$B,MATCH(K487,Teams!$A:$A,0)))</f>
        <v>No result</v>
      </c>
      <c r="T487" t="str">
        <f>INDEX(Venues!$B:$B,MATCH(O487,Venues!$A:$A,0))</f>
        <v>M Chinnaswamy Stadium</v>
      </c>
      <c r="U487" t="str">
        <f>INDEX(Venues!$C:$C,MATCH(O487,Venues!$A:$A,0))</f>
        <v>Bangalore</v>
      </c>
      <c r="V487" t="str">
        <f>IF(L487&gt;0,L487&amp;" runs",IF(M487&gt;0,M487&amp;" wickets","-"))</f>
        <v>-</v>
      </c>
      <c r="W487">
        <f>IF(G487=K487,1,0)</f>
        <v>0</v>
      </c>
      <c r="X487">
        <f>IF(L487&gt;0,L487,"")</f>
        <v/>
      </c>
      <c r="Y487">
        <f>IF(X487="","",IF(X487&gt;Stats!$B$15,"Outlier",""))</f>
        <v/>
      </c>
      <c r="Z487" t="str">
        <f>P487&amp;" vs "&amp;Q487</f>
        <v>Royal Challengers Bangalore vs Rajasthan Royals</v>
      </c>
    </row>
    <row r="488" spans="1:26" x14ac:dyDescent="0.25">
      <c r="A488">
        <v>527</v>
      </c>
      <c r="B488">
        <v>2015</v>
      </c>
      <c r="C488" s="5">
        <v>42124</v>
      </c>
      <c r="D488" t="s">
        <v>172</v>
      </c>
      <c r="E488" t="s">
        <v>12</v>
      </c>
      <c r="F488" t="s">
        <v>32</v>
      </c>
      <c r="G488" t="s">
        <v>32</v>
      </c>
      <c r="H488" t="s">
        <v>173</v>
      </c>
      <c r="I488" t="s">
        <v>174</v>
      </c>
      <c r="J488">
        <v>0</v>
      </c>
      <c r="K488" t="s">
        <v>32</v>
      </c>
      <c r="L488">
        <v>0</v>
      </c>
      <c r="M488">
        <v>7</v>
      </c>
      <c r="N488" t="s">
        <v>344</v>
      </c>
      <c r="O488" t="s">
        <v>73</v>
      </c>
      <c r="P488" t="str">
        <f>INDEX(Teams!$B:$B,MATCH(E488,Teams!$A:$A,0))</f>
        <v>Chennai Super Kings</v>
      </c>
      <c r="Q488" t="str">
        <f>INDEX(Teams!$B:$B,MATCH(F488,Teams!$A:$A,0))</f>
        <v>Kolkata Knight Riders</v>
      </c>
      <c r="R488" t="str">
        <f>INDEX(Teams!$B:$B,MATCH(G488,Teams!$A:$A,0))</f>
        <v>Kolkata Knight Riders</v>
      </c>
      <c r="S488" t="str">
        <f>IF(K488="","No result",INDEX(Teams!$B:$B,MATCH(K488,Teams!$A:$A,0)))</f>
        <v>Kolkata Knight Riders</v>
      </c>
      <c r="T488" t="str">
        <f>INDEX(Venues!$B:$B,MATCH(O488,Venues!$A:$A,0))</f>
        <v>Eden Gardens</v>
      </c>
      <c r="U488" t="str">
        <f>INDEX(Venues!$C:$C,MATCH(O488,Venues!$A:$A,0))</f>
        <v>Kolkata</v>
      </c>
      <c r="V488" t="str">
        <f>IF(L488&gt;0,L488&amp;" runs",IF(M488&gt;0,M488&amp;" wickets","-"))</f>
        <v>7 wickets</v>
      </c>
      <c r="W488">
        <f>IF(G488=K488,1,0)</f>
        <v>1</v>
      </c>
      <c r="X488">
        <f>IF(L488&gt;0,L488,"")</f>
        <v/>
      </c>
      <c r="Y488">
        <f>IF(X488="","",IF(X488&gt;Stats!$B$15,"Outlier",""))</f>
        <v/>
      </c>
      <c r="Z488" t="str">
        <f>P488&amp;" vs "&amp;Q488</f>
        <v>Chennai Super Kings vs Kolkata Knight Riders</v>
      </c>
    </row>
    <row r="489" spans="1:26" x14ac:dyDescent="0.25">
      <c r="A489">
        <v>548</v>
      </c>
      <c r="B489">
        <v>2015</v>
      </c>
      <c r="C489" s="5">
        <v>42125</v>
      </c>
      <c r="D489" t="s">
        <v>172</v>
      </c>
      <c r="E489" t="s">
        <v>26</v>
      </c>
      <c r="F489" t="s">
        <v>20</v>
      </c>
      <c r="G489" t="s">
        <v>20</v>
      </c>
      <c r="H489" t="s">
        <v>173</v>
      </c>
      <c r="I489" t="s">
        <v>174</v>
      </c>
      <c r="J489">
        <v>0</v>
      </c>
      <c r="K489" t="s">
        <v>20</v>
      </c>
      <c r="L489">
        <v>0</v>
      </c>
      <c r="M489">
        <v>9</v>
      </c>
      <c r="N489" t="s">
        <v>349</v>
      </c>
      <c r="O489" t="s">
        <v>75</v>
      </c>
      <c r="P489" t="str">
        <f>INDEX(Teams!$B:$B,MATCH(E489,Teams!$A:$A,0))</f>
        <v>Kings XI Punjab</v>
      </c>
      <c r="Q489" t="str">
        <f>INDEX(Teams!$B:$B,MATCH(F489,Teams!$A:$A,0))</f>
        <v>Delhi Capitals</v>
      </c>
      <c r="R489" t="str">
        <f>INDEX(Teams!$B:$B,MATCH(G489,Teams!$A:$A,0))</f>
        <v>Delhi Capitals</v>
      </c>
      <c r="S489" t="str">
        <f>IF(K489="","No result",INDEX(Teams!$B:$B,MATCH(K489,Teams!$A:$A,0)))</f>
        <v>Delhi Capitals</v>
      </c>
      <c r="T489" t="str">
        <f>INDEX(Venues!$B:$B,MATCH(O489,Venues!$A:$A,0))</f>
        <v>Feroz Shah Kotla</v>
      </c>
      <c r="U489" t="str">
        <f>INDEX(Venues!$C:$C,MATCH(O489,Venues!$A:$A,0))</f>
        <v>Delhi</v>
      </c>
      <c r="V489" t="str">
        <f>IF(L489&gt;0,L489&amp;" runs",IF(M489&gt;0,M489&amp;" wickets","-"))</f>
        <v>9 wickets</v>
      </c>
      <c r="W489">
        <f>IF(G489=K489,1,0)</f>
        <v>1</v>
      </c>
      <c r="X489">
        <f>IF(L489&gt;0,L489,"")</f>
        <v/>
      </c>
      <c r="Y489">
        <f>IF(X489="","",IF(X489&gt;Stats!$B$15,"Outlier",""))</f>
        <v/>
      </c>
      <c r="Z489" t="str">
        <f>P489&amp;" vs "&amp;Q489</f>
        <v>Kings XI Punjab vs Delhi Capitals</v>
      </c>
    </row>
    <row r="490" spans="1:26" x14ac:dyDescent="0.25">
      <c r="A490">
        <v>549</v>
      </c>
      <c r="B490">
        <v>2015</v>
      </c>
      <c r="C490" s="5">
        <v>42125</v>
      </c>
      <c r="D490" t="s">
        <v>172</v>
      </c>
      <c r="E490" t="s">
        <v>35</v>
      </c>
      <c r="F490" t="s">
        <v>41</v>
      </c>
      <c r="G490" t="s">
        <v>41</v>
      </c>
      <c r="H490" t="s">
        <v>173</v>
      </c>
      <c r="I490" t="s">
        <v>174</v>
      </c>
      <c r="J490">
        <v>0</v>
      </c>
      <c r="K490" t="s">
        <v>35</v>
      </c>
      <c r="L490">
        <v>8</v>
      </c>
      <c r="M490">
        <v>0</v>
      </c>
      <c r="N490" t="s">
        <v>261</v>
      </c>
      <c r="O490" t="s">
        <v>138</v>
      </c>
      <c r="P490" t="str">
        <f>INDEX(Teams!$B:$B,MATCH(E490,Teams!$A:$A,0))</f>
        <v>Mumbai Indians</v>
      </c>
      <c r="Q490" t="str">
        <f>INDEX(Teams!$B:$B,MATCH(F490,Teams!$A:$A,0))</f>
        <v>Rajasthan Royals</v>
      </c>
      <c r="R490" t="str">
        <f>INDEX(Teams!$B:$B,MATCH(G490,Teams!$A:$A,0))</f>
        <v>Rajasthan Royals</v>
      </c>
      <c r="S490" t="str">
        <f>IF(K490="","No result",INDEX(Teams!$B:$B,MATCH(K490,Teams!$A:$A,0)))</f>
        <v>Mumbai Indians</v>
      </c>
      <c r="T490" t="str">
        <f>INDEX(Venues!$B:$B,MATCH(O490,Venues!$A:$A,0))</f>
        <v>Wankhede Stadium</v>
      </c>
      <c r="U490" t="str">
        <f>INDEX(Venues!$C:$C,MATCH(O490,Venues!$A:$A,0))</f>
        <v>Mumbai</v>
      </c>
      <c r="V490" t="str">
        <f>IF(L490&gt;0,L490&amp;" runs",IF(M490&gt;0,M490&amp;" wickets","-"))</f>
        <v>8 runs</v>
      </c>
      <c r="W490">
        <f>IF(G490=K490,1,0)</f>
        <v>0</v>
      </c>
      <c r="X490">
        <f>IF(L490&gt;0,L490,"")</f>
        <v>8</v>
      </c>
      <c r="Y490">
        <f>IF(X490="","",IF(X490&gt;Stats!$B$15,"Outlier",""))</f>
        <v/>
      </c>
      <c r="Z490" t="str">
        <f>P490&amp;" vs "&amp;Q490</f>
        <v>Mumbai Indians vs Rajasthan Royals</v>
      </c>
    </row>
    <row r="491" spans="1:26" x14ac:dyDescent="0.25">
      <c r="A491">
        <v>550</v>
      </c>
      <c r="B491">
        <v>2015</v>
      </c>
      <c r="C491" s="5">
        <v>42126</v>
      </c>
      <c r="D491" t="s">
        <v>172</v>
      </c>
      <c r="E491" t="s">
        <v>32</v>
      </c>
      <c r="F491" t="s">
        <v>46</v>
      </c>
      <c r="G491" t="s">
        <v>46</v>
      </c>
      <c r="H491" t="s">
        <v>173</v>
      </c>
      <c r="I491" t="s">
        <v>174</v>
      </c>
      <c r="J491">
        <v>0</v>
      </c>
      <c r="K491" t="s">
        <v>46</v>
      </c>
      <c r="L491">
        <v>0</v>
      </c>
      <c r="M491">
        <v>7</v>
      </c>
      <c r="N491" t="s">
        <v>310</v>
      </c>
      <c r="O491" t="s">
        <v>92</v>
      </c>
      <c r="P491" t="str">
        <f>INDEX(Teams!$B:$B,MATCH(E491,Teams!$A:$A,0))</f>
        <v>Kolkata Knight Riders</v>
      </c>
      <c r="Q491" t="str">
        <f>INDEX(Teams!$B:$B,MATCH(F491,Teams!$A:$A,0))</f>
        <v>Royal Challengers Bangalore</v>
      </c>
      <c r="R491" t="str">
        <f>INDEX(Teams!$B:$B,MATCH(G491,Teams!$A:$A,0))</f>
        <v>Royal Challengers Bangalore</v>
      </c>
      <c r="S491" t="str">
        <f>IF(K491="","No result",INDEX(Teams!$B:$B,MATCH(K491,Teams!$A:$A,0)))</f>
        <v>Royal Challengers Bangalore</v>
      </c>
      <c r="T491" t="str">
        <f>INDEX(Venues!$B:$B,MATCH(O491,Venues!$A:$A,0))</f>
        <v>M Chinnaswamy Stadium</v>
      </c>
      <c r="U491" t="str">
        <f>INDEX(Venues!$C:$C,MATCH(O491,Venues!$A:$A,0))</f>
        <v>Bangalore</v>
      </c>
      <c r="V491" t="str">
        <f>IF(L491&gt;0,L491&amp;" runs",IF(M491&gt;0,M491&amp;" wickets","-"))</f>
        <v>7 wickets</v>
      </c>
      <c r="W491">
        <f>IF(G491=K491,1,0)</f>
        <v>1</v>
      </c>
      <c r="X491">
        <f>IF(L491&gt;0,L491,"")</f>
        <v/>
      </c>
      <c r="Y491">
        <f>IF(X491="","",IF(X491&gt;Stats!$B$15,"Outlier",""))</f>
        <v/>
      </c>
      <c r="Z491" t="str">
        <f>P491&amp;" vs "&amp;Q491</f>
        <v>Kolkata Knight Riders vs Royal Challengers Bangalore</v>
      </c>
    </row>
    <row r="492" spans="1:26" x14ac:dyDescent="0.25">
      <c r="A492">
        <v>551</v>
      </c>
      <c r="B492">
        <v>2015</v>
      </c>
      <c r="C492" s="5">
        <v>42126</v>
      </c>
      <c r="D492" t="s">
        <v>172</v>
      </c>
      <c r="E492" t="s">
        <v>49</v>
      </c>
      <c r="F492" t="s">
        <v>12</v>
      </c>
      <c r="G492" t="s">
        <v>12</v>
      </c>
      <c r="H492" t="s">
        <v>173</v>
      </c>
      <c r="I492" t="s">
        <v>174</v>
      </c>
      <c r="J492">
        <v>0</v>
      </c>
      <c r="K492" t="s">
        <v>49</v>
      </c>
      <c r="L492">
        <v>22</v>
      </c>
      <c r="M492">
        <v>0</v>
      </c>
      <c r="N492" t="s">
        <v>257</v>
      </c>
      <c r="O492" t="s">
        <v>111</v>
      </c>
      <c r="P492" t="str">
        <f>INDEX(Teams!$B:$B,MATCH(E492,Teams!$A:$A,0))</f>
        <v>Sunrisers Hyderabad</v>
      </c>
      <c r="Q492" t="str">
        <f>INDEX(Teams!$B:$B,MATCH(F492,Teams!$A:$A,0))</f>
        <v>Chennai Super Kings</v>
      </c>
      <c r="R492" t="str">
        <f>INDEX(Teams!$B:$B,MATCH(G492,Teams!$A:$A,0))</f>
        <v>Chennai Super Kings</v>
      </c>
      <c r="S492" t="str">
        <f>IF(K492="","No result",INDEX(Teams!$B:$B,MATCH(K492,Teams!$A:$A,0)))</f>
        <v>Sunrisers Hyderabad</v>
      </c>
      <c r="T492" t="str">
        <f>INDEX(Venues!$B:$B,MATCH(O492,Venues!$A:$A,0))</f>
        <v>Rajiv Gandhi International Stadium</v>
      </c>
      <c r="U492" t="str">
        <f>INDEX(Venues!$C:$C,MATCH(O492,Venues!$A:$A,0))</f>
        <v>Hyderabad</v>
      </c>
      <c r="V492" t="str">
        <f>IF(L492&gt;0,L492&amp;" runs",IF(M492&gt;0,M492&amp;" wickets","-"))</f>
        <v>22 runs</v>
      </c>
      <c r="W492">
        <f>IF(G492=K492,1,0)</f>
        <v>0</v>
      </c>
      <c r="X492">
        <f>IF(L492&gt;0,L492,"")</f>
        <v>22</v>
      </c>
      <c r="Y492">
        <f>IF(X492="","",IF(X492&gt;Stats!$B$15,"Outlier",""))</f>
        <v/>
      </c>
      <c r="Z492" t="str">
        <f>P492&amp;" vs "&amp;Q492</f>
        <v>Sunrisers Hyderabad vs Chennai Super Kings</v>
      </c>
    </row>
    <row r="493" spans="1:26" x14ac:dyDescent="0.25">
      <c r="A493">
        <v>552</v>
      </c>
      <c r="B493">
        <v>2015</v>
      </c>
      <c r="C493" s="5">
        <v>42127</v>
      </c>
      <c r="D493" t="s">
        <v>172</v>
      </c>
      <c r="E493" t="s">
        <v>35</v>
      </c>
      <c r="F493" t="s">
        <v>26</v>
      </c>
      <c r="G493" t="s">
        <v>35</v>
      </c>
      <c r="H493" t="s">
        <v>176</v>
      </c>
      <c r="I493" t="s">
        <v>174</v>
      </c>
      <c r="J493">
        <v>0</v>
      </c>
      <c r="K493" t="s">
        <v>35</v>
      </c>
      <c r="L493">
        <v>23</v>
      </c>
      <c r="M493">
        <v>0</v>
      </c>
      <c r="N493" t="s">
        <v>340</v>
      </c>
      <c r="O493" t="s">
        <v>109</v>
      </c>
      <c r="P493" t="str">
        <f>INDEX(Teams!$B:$B,MATCH(E493,Teams!$A:$A,0))</f>
        <v>Mumbai Indians</v>
      </c>
      <c r="Q493" t="str">
        <f>INDEX(Teams!$B:$B,MATCH(F493,Teams!$A:$A,0))</f>
        <v>Kings XI Punjab</v>
      </c>
      <c r="R493" t="str">
        <f>INDEX(Teams!$B:$B,MATCH(G493,Teams!$A:$A,0))</f>
        <v>Mumbai Indians</v>
      </c>
      <c r="S493" t="str">
        <f>IF(K493="","No result",INDEX(Teams!$B:$B,MATCH(K493,Teams!$A:$A,0)))</f>
        <v>Mumbai Indians</v>
      </c>
      <c r="T493" t="str">
        <f>INDEX(Venues!$B:$B,MATCH(O493,Venues!$A:$A,0))</f>
        <v>Punjab Cricket Association IS Bindra Stadium</v>
      </c>
      <c r="U493" t="str">
        <f>INDEX(Venues!$C:$C,MATCH(O493,Venues!$A:$A,0))</f>
        <v>Chandigarh</v>
      </c>
      <c r="V493" t="str">
        <f>IF(L493&gt;0,L493&amp;" runs",IF(M493&gt;0,M493&amp;" wickets","-"))</f>
        <v>23 runs</v>
      </c>
      <c r="W493">
        <f>IF(G493=K493,1,0)</f>
        <v>1</v>
      </c>
      <c r="X493">
        <f>IF(L493&gt;0,L493,"")</f>
        <v>23</v>
      </c>
      <c r="Y493">
        <f>IF(X493="","",IF(X493&gt;Stats!$B$15,"Outlier",""))</f>
        <v/>
      </c>
      <c r="Z493" t="str">
        <f>P493&amp;" vs "&amp;Q493</f>
        <v>Mumbai Indians vs Kings XI Punjab</v>
      </c>
    </row>
    <row r="494" spans="1:26" x14ac:dyDescent="0.25">
      <c r="A494">
        <v>553</v>
      </c>
      <c r="B494">
        <v>2015</v>
      </c>
      <c r="C494" s="5">
        <v>42127</v>
      </c>
      <c r="D494" t="s">
        <v>172</v>
      </c>
      <c r="E494" t="s">
        <v>41</v>
      </c>
      <c r="F494" t="s">
        <v>20</v>
      </c>
      <c r="G494" t="s">
        <v>20</v>
      </c>
      <c r="H494" t="s">
        <v>173</v>
      </c>
      <c r="I494" t="s">
        <v>174</v>
      </c>
      <c r="J494">
        <v>0</v>
      </c>
      <c r="K494" t="s">
        <v>41</v>
      </c>
      <c r="L494">
        <v>14</v>
      </c>
      <c r="M494">
        <v>0</v>
      </c>
      <c r="N494" t="s">
        <v>298</v>
      </c>
      <c r="O494" t="s">
        <v>57</v>
      </c>
      <c r="P494" t="str">
        <f>INDEX(Teams!$B:$B,MATCH(E494,Teams!$A:$A,0))</f>
        <v>Rajasthan Royals</v>
      </c>
      <c r="Q494" t="str">
        <f>INDEX(Teams!$B:$B,MATCH(F494,Teams!$A:$A,0))</f>
        <v>Delhi Capitals</v>
      </c>
      <c r="R494" t="str">
        <f>INDEX(Teams!$B:$B,MATCH(G494,Teams!$A:$A,0))</f>
        <v>Delhi Capitals</v>
      </c>
      <c r="S494" t="str">
        <f>IF(K494="","No result",INDEX(Teams!$B:$B,MATCH(K494,Teams!$A:$A,0)))</f>
        <v>Rajasthan Royals</v>
      </c>
      <c r="T494" t="str">
        <f>INDEX(Venues!$B:$B,MATCH(O494,Venues!$A:$A,0))</f>
        <v>Brabourne Stadium</v>
      </c>
      <c r="U494" t="str">
        <f>INDEX(Venues!$C:$C,MATCH(O494,Venues!$A:$A,0))</f>
        <v>Mumbai</v>
      </c>
      <c r="V494" t="str">
        <f>IF(L494&gt;0,L494&amp;" runs",IF(M494&gt;0,M494&amp;" wickets","-"))</f>
        <v>14 runs</v>
      </c>
      <c r="W494">
        <f>IF(G494=K494,1,0)</f>
        <v>0</v>
      </c>
      <c r="X494">
        <f>IF(L494&gt;0,L494,"")</f>
        <v>14</v>
      </c>
      <c r="Y494">
        <f>IF(X494="","",IF(X494&gt;Stats!$B$15,"Outlier",""))</f>
        <v/>
      </c>
      <c r="Z494" t="str">
        <f>P494&amp;" vs "&amp;Q494</f>
        <v>Rajasthan Royals vs Delhi Capitals</v>
      </c>
    </row>
    <row r="495" spans="1:26" x14ac:dyDescent="0.25">
      <c r="A495">
        <v>554</v>
      </c>
      <c r="B495">
        <v>2015</v>
      </c>
      <c r="C495" s="5">
        <v>42128</v>
      </c>
      <c r="D495" t="s">
        <v>172</v>
      </c>
      <c r="E495" t="s">
        <v>12</v>
      </c>
      <c r="F495" t="s">
        <v>46</v>
      </c>
      <c r="G495" t="s">
        <v>12</v>
      </c>
      <c r="H495" t="s">
        <v>176</v>
      </c>
      <c r="I495" t="s">
        <v>174</v>
      </c>
      <c r="J495">
        <v>0</v>
      </c>
      <c r="K495" t="s">
        <v>12</v>
      </c>
      <c r="L495">
        <v>24</v>
      </c>
      <c r="M495">
        <v>0</v>
      </c>
      <c r="N495" t="s">
        <v>214</v>
      </c>
      <c r="O495" t="s">
        <v>94</v>
      </c>
      <c r="P495" t="str">
        <f>INDEX(Teams!$B:$B,MATCH(E495,Teams!$A:$A,0))</f>
        <v>Chennai Super Kings</v>
      </c>
      <c r="Q495" t="str">
        <f>INDEX(Teams!$B:$B,MATCH(F495,Teams!$A:$A,0))</f>
        <v>Royal Challengers Bangalore</v>
      </c>
      <c r="R495" t="str">
        <f>INDEX(Teams!$B:$B,MATCH(G495,Teams!$A:$A,0))</f>
        <v>Chennai Super Kings</v>
      </c>
      <c r="S495" t="str">
        <f>IF(K495="","No result",INDEX(Teams!$B:$B,MATCH(K495,Teams!$A:$A,0)))</f>
        <v>Chennai Super Kings</v>
      </c>
      <c r="T495" t="str">
        <f>INDEX(Venues!$B:$B,MATCH(O495,Venues!$A:$A,0))</f>
        <v>MA Chidambaram Stadium</v>
      </c>
      <c r="U495" t="str">
        <f>INDEX(Venues!$C:$C,MATCH(O495,Venues!$A:$A,0))</f>
        <v>Chennai</v>
      </c>
      <c r="V495" t="str">
        <f>IF(L495&gt;0,L495&amp;" runs",IF(M495&gt;0,M495&amp;" wickets","-"))</f>
        <v>24 runs</v>
      </c>
      <c r="W495">
        <f>IF(G495=K495,1,0)</f>
        <v>1</v>
      </c>
      <c r="X495">
        <f>IF(L495&gt;0,L495,"")</f>
        <v>24</v>
      </c>
      <c r="Y495">
        <f>IF(X495="","",IF(X495&gt;Stats!$B$15,"Outlier",""))</f>
        <v/>
      </c>
      <c r="Z495" t="str">
        <f>P495&amp;" vs "&amp;Q495</f>
        <v>Chennai Super Kings vs Royal Challengers Bangalore</v>
      </c>
    </row>
    <row r="496" spans="1:26" x14ac:dyDescent="0.25">
      <c r="A496">
        <v>555</v>
      </c>
      <c r="B496">
        <v>2015</v>
      </c>
      <c r="C496" s="5">
        <v>42128</v>
      </c>
      <c r="D496" t="s">
        <v>172</v>
      </c>
      <c r="E496" t="s">
        <v>32</v>
      </c>
      <c r="F496" t="s">
        <v>49</v>
      </c>
      <c r="G496" t="s">
        <v>49</v>
      </c>
      <c r="H496" t="s">
        <v>173</v>
      </c>
      <c r="I496" t="s">
        <v>174</v>
      </c>
      <c r="J496">
        <v>0</v>
      </c>
      <c r="K496" t="s">
        <v>32</v>
      </c>
      <c r="L496">
        <v>35</v>
      </c>
      <c r="M496">
        <v>0</v>
      </c>
      <c r="N496" t="s">
        <v>315</v>
      </c>
      <c r="O496" t="s">
        <v>73</v>
      </c>
      <c r="P496" t="str">
        <f>INDEX(Teams!$B:$B,MATCH(E496,Teams!$A:$A,0))</f>
        <v>Kolkata Knight Riders</v>
      </c>
      <c r="Q496" t="str">
        <f>INDEX(Teams!$B:$B,MATCH(F496,Teams!$A:$A,0))</f>
        <v>Sunrisers Hyderabad</v>
      </c>
      <c r="R496" t="str">
        <f>INDEX(Teams!$B:$B,MATCH(G496,Teams!$A:$A,0))</f>
        <v>Sunrisers Hyderabad</v>
      </c>
      <c r="S496" t="str">
        <f>IF(K496="","No result",INDEX(Teams!$B:$B,MATCH(K496,Teams!$A:$A,0)))</f>
        <v>Kolkata Knight Riders</v>
      </c>
      <c r="T496" t="str">
        <f>INDEX(Venues!$B:$B,MATCH(O496,Venues!$A:$A,0))</f>
        <v>Eden Gardens</v>
      </c>
      <c r="U496" t="str">
        <f>INDEX(Venues!$C:$C,MATCH(O496,Venues!$A:$A,0))</f>
        <v>Kolkata</v>
      </c>
      <c r="V496" t="str">
        <f>IF(L496&gt;0,L496&amp;" runs",IF(M496&gt;0,M496&amp;" wickets","-"))</f>
        <v>35 runs</v>
      </c>
      <c r="W496">
        <f>IF(G496=K496,1,0)</f>
        <v>0</v>
      </c>
      <c r="X496">
        <f>IF(L496&gt;0,L496,"")</f>
        <v>35</v>
      </c>
      <c r="Y496">
        <f>IF(X496="","",IF(X496&gt;Stats!$B$15,"Outlier",""))</f>
        <v/>
      </c>
      <c r="Z496" t="str">
        <f>P496&amp;" vs "&amp;Q496</f>
        <v>Kolkata Knight Riders vs Sunrisers Hyderabad</v>
      </c>
    </row>
    <row r="497" spans="1:26" x14ac:dyDescent="0.25">
      <c r="A497">
        <v>556</v>
      </c>
      <c r="B497">
        <v>2015</v>
      </c>
      <c r="C497" s="5">
        <v>42129</v>
      </c>
      <c r="D497" t="s">
        <v>172</v>
      </c>
      <c r="E497" t="s">
        <v>20</v>
      </c>
      <c r="F497" t="s">
        <v>35</v>
      </c>
      <c r="G497" t="s">
        <v>20</v>
      </c>
      <c r="H497" t="s">
        <v>176</v>
      </c>
      <c r="I497" t="s">
        <v>174</v>
      </c>
      <c r="J497">
        <v>0</v>
      </c>
      <c r="K497" t="s">
        <v>35</v>
      </c>
      <c r="L497">
        <v>0</v>
      </c>
      <c r="M497">
        <v>5</v>
      </c>
      <c r="N497" t="s">
        <v>240</v>
      </c>
      <c r="O497" t="s">
        <v>138</v>
      </c>
      <c r="P497" t="str">
        <f>INDEX(Teams!$B:$B,MATCH(E497,Teams!$A:$A,0))</f>
        <v>Delhi Capitals</v>
      </c>
      <c r="Q497" t="str">
        <f>INDEX(Teams!$B:$B,MATCH(F497,Teams!$A:$A,0))</f>
        <v>Mumbai Indians</v>
      </c>
      <c r="R497" t="str">
        <f>INDEX(Teams!$B:$B,MATCH(G497,Teams!$A:$A,0))</f>
        <v>Delhi Capitals</v>
      </c>
      <c r="S497" t="str">
        <f>IF(K497="","No result",INDEX(Teams!$B:$B,MATCH(K497,Teams!$A:$A,0)))</f>
        <v>Mumbai Indians</v>
      </c>
      <c r="T497" t="str">
        <f>INDEX(Venues!$B:$B,MATCH(O497,Venues!$A:$A,0))</f>
        <v>Wankhede Stadium</v>
      </c>
      <c r="U497" t="str">
        <f>INDEX(Venues!$C:$C,MATCH(O497,Venues!$A:$A,0))</f>
        <v>Mumbai</v>
      </c>
      <c r="V497" t="str">
        <f>IF(L497&gt;0,L497&amp;" runs",IF(M497&gt;0,M497&amp;" wickets","-"))</f>
        <v>5 wickets</v>
      </c>
      <c r="W497">
        <f>IF(G497=K497,1,0)</f>
        <v>0</v>
      </c>
      <c r="X497">
        <f>IF(L497&gt;0,L497,"")</f>
        <v/>
      </c>
      <c r="Y497">
        <f>IF(X497="","",IF(X497&gt;Stats!$B$15,"Outlier",""))</f>
        <v/>
      </c>
      <c r="Z497" t="str">
        <f>P497&amp;" vs "&amp;Q497</f>
        <v>Delhi Capitals vs Mumbai Indians</v>
      </c>
    </row>
    <row r="498" spans="1:26" x14ac:dyDescent="0.25">
      <c r="A498">
        <v>557</v>
      </c>
      <c r="B498">
        <v>2015</v>
      </c>
      <c r="C498" s="5">
        <v>42130</v>
      </c>
      <c r="D498" t="s">
        <v>172</v>
      </c>
      <c r="E498" t="s">
        <v>46</v>
      </c>
      <c r="F498" t="s">
        <v>26</v>
      </c>
      <c r="G498" t="s">
        <v>26</v>
      </c>
      <c r="H498" t="s">
        <v>173</v>
      </c>
      <c r="I498" t="s">
        <v>174</v>
      </c>
      <c r="J498">
        <v>0</v>
      </c>
      <c r="K498" t="s">
        <v>46</v>
      </c>
      <c r="L498">
        <v>138</v>
      </c>
      <c r="M498">
        <v>0</v>
      </c>
      <c r="N498" t="s">
        <v>222</v>
      </c>
      <c r="O498" t="s">
        <v>92</v>
      </c>
      <c r="P498" t="str">
        <f>INDEX(Teams!$B:$B,MATCH(E498,Teams!$A:$A,0))</f>
        <v>Royal Challengers Bangalore</v>
      </c>
      <c r="Q498" t="str">
        <f>INDEX(Teams!$B:$B,MATCH(F498,Teams!$A:$A,0))</f>
        <v>Kings XI Punjab</v>
      </c>
      <c r="R498" t="str">
        <f>INDEX(Teams!$B:$B,MATCH(G498,Teams!$A:$A,0))</f>
        <v>Kings XI Punjab</v>
      </c>
      <c r="S498" t="str">
        <f>IF(K498="","No result",INDEX(Teams!$B:$B,MATCH(K498,Teams!$A:$A,0)))</f>
        <v>Royal Challengers Bangalore</v>
      </c>
      <c r="T498" t="str">
        <f>INDEX(Venues!$B:$B,MATCH(O498,Venues!$A:$A,0))</f>
        <v>M Chinnaswamy Stadium</v>
      </c>
      <c r="U498" t="str">
        <f>INDEX(Venues!$C:$C,MATCH(O498,Venues!$A:$A,0))</f>
        <v>Bangalore</v>
      </c>
      <c r="V498" t="str">
        <f>IF(L498&gt;0,L498&amp;" runs",IF(M498&gt;0,M498&amp;" wickets","-"))</f>
        <v>138 runs</v>
      </c>
      <c r="W498">
        <f>IF(G498=K498,1,0)</f>
        <v>0</v>
      </c>
      <c r="X498">
        <f>IF(L498&gt;0,L498,"")</f>
        <v>138</v>
      </c>
      <c r="Y498" t="str">
        <f>IF(X498="","",IF(X498&gt;Stats!$B$15,"Outlier",""))</f>
        <v>Outlier</v>
      </c>
      <c r="Z498" t="str">
        <f>P498&amp;" vs "&amp;Q498</f>
        <v>Royal Challengers Bangalore vs Kings XI Punjab</v>
      </c>
    </row>
    <row r="499" spans="1:26" x14ac:dyDescent="0.25">
      <c r="A499">
        <v>545</v>
      </c>
      <c r="B499">
        <v>2015</v>
      </c>
      <c r="C499" s="5">
        <v>42131</v>
      </c>
      <c r="D499" t="s">
        <v>172</v>
      </c>
      <c r="E499" t="s">
        <v>32</v>
      </c>
      <c r="F499" t="s">
        <v>20</v>
      </c>
      <c r="G499" t="s">
        <v>32</v>
      </c>
      <c r="H499" t="s">
        <v>176</v>
      </c>
      <c r="I499" t="s">
        <v>174</v>
      </c>
      <c r="J499">
        <v>0</v>
      </c>
      <c r="K499" t="s">
        <v>32</v>
      </c>
      <c r="L499">
        <v>13</v>
      </c>
      <c r="M499">
        <v>0</v>
      </c>
      <c r="N499" t="s">
        <v>266</v>
      </c>
      <c r="O499" t="s">
        <v>73</v>
      </c>
      <c r="P499" t="str">
        <f>INDEX(Teams!$B:$B,MATCH(E499,Teams!$A:$A,0))</f>
        <v>Kolkata Knight Riders</v>
      </c>
      <c r="Q499" t="str">
        <f>INDEX(Teams!$B:$B,MATCH(F499,Teams!$A:$A,0))</f>
        <v>Delhi Capitals</v>
      </c>
      <c r="R499" t="str">
        <f>INDEX(Teams!$B:$B,MATCH(G499,Teams!$A:$A,0))</f>
        <v>Kolkata Knight Riders</v>
      </c>
      <c r="S499" t="str">
        <f>IF(K499="","No result",INDEX(Teams!$B:$B,MATCH(K499,Teams!$A:$A,0)))</f>
        <v>Kolkata Knight Riders</v>
      </c>
      <c r="T499" t="str">
        <f>INDEX(Venues!$B:$B,MATCH(O499,Venues!$A:$A,0))</f>
        <v>Eden Gardens</v>
      </c>
      <c r="U499" t="str">
        <f>INDEX(Venues!$C:$C,MATCH(O499,Venues!$A:$A,0))</f>
        <v>Kolkata</v>
      </c>
      <c r="V499" t="str">
        <f>IF(L499&gt;0,L499&amp;" runs",IF(M499&gt;0,M499&amp;" wickets","-"))</f>
        <v>13 runs</v>
      </c>
      <c r="W499">
        <f>IF(G499=K499,1,0)</f>
        <v>1</v>
      </c>
      <c r="X499">
        <f>IF(L499&gt;0,L499,"")</f>
        <v>13</v>
      </c>
      <c r="Y499">
        <f>IF(X499="","",IF(X499&gt;Stats!$B$15,"Outlier",""))</f>
        <v/>
      </c>
      <c r="Z499" t="str">
        <f>P499&amp;" vs "&amp;Q499</f>
        <v>Kolkata Knight Riders vs Delhi Capitals</v>
      </c>
    </row>
    <row r="500" spans="1:26" x14ac:dyDescent="0.25">
      <c r="A500">
        <v>558</v>
      </c>
      <c r="B500">
        <v>2015</v>
      </c>
      <c r="C500" s="5">
        <v>42131</v>
      </c>
      <c r="D500" t="s">
        <v>172</v>
      </c>
      <c r="E500" t="s">
        <v>49</v>
      </c>
      <c r="F500" t="s">
        <v>41</v>
      </c>
      <c r="G500" t="s">
        <v>41</v>
      </c>
      <c r="H500" t="s">
        <v>173</v>
      </c>
      <c r="I500" t="s">
        <v>174</v>
      </c>
      <c r="J500">
        <v>0</v>
      </c>
      <c r="K500" t="s">
        <v>49</v>
      </c>
      <c r="L500">
        <v>7</v>
      </c>
      <c r="M500">
        <v>0</v>
      </c>
      <c r="N500" t="s">
        <v>350</v>
      </c>
      <c r="O500" t="s">
        <v>57</v>
      </c>
      <c r="P500" t="str">
        <f>INDEX(Teams!$B:$B,MATCH(E500,Teams!$A:$A,0))</f>
        <v>Sunrisers Hyderabad</v>
      </c>
      <c r="Q500" t="str">
        <f>INDEX(Teams!$B:$B,MATCH(F500,Teams!$A:$A,0))</f>
        <v>Rajasthan Royals</v>
      </c>
      <c r="R500" t="str">
        <f>INDEX(Teams!$B:$B,MATCH(G500,Teams!$A:$A,0))</f>
        <v>Rajasthan Royals</v>
      </c>
      <c r="S500" t="str">
        <f>IF(K500="","No result",INDEX(Teams!$B:$B,MATCH(K500,Teams!$A:$A,0)))</f>
        <v>Sunrisers Hyderabad</v>
      </c>
      <c r="T500" t="str">
        <f>INDEX(Venues!$B:$B,MATCH(O500,Venues!$A:$A,0))</f>
        <v>Brabourne Stadium</v>
      </c>
      <c r="U500" t="str">
        <f>INDEX(Venues!$C:$C,MATCH(O500,Venues!$A:$A,0))</f>
        <v>Mumbai</v>
      </c>
      <c r="V500" t="str">
        <f>IF(L500&gt;0,L500&amp;" runs",IF(M500&gt;0,M500&amp;" wickets","-"))</f>
        <v>7 runs</v>
      </c>
      <c r="W500">
        <f>IF(G500=K500,1,0)</f>
        <v>0</v>
      </c>
      <c r="X500">
        <f>IF(L500&gt;0,L500,"")</f>
        <v>7</v>
      </c>
      <c r="Y500">
        <f>IF(X500="","",IF(X500&gt;Stats!$B$15,"Outlier",""))</f>
        <v/>
      </c>
      <c r="Z500" t="str">
        <f>P500&amp;" vs "&amp;Q500</f>
        <v>Sunrisers Hyderabad vs Rajasthan Royals</v>
      </c>
    </row>
    <row r="501" spans="1:26" x14ac:dyDescent="0.25">
      <c r="A501">
        <v>559</v>
      </c>
      <c r="B501">
        <v>2015</v>
      </c>
      <c r="C501" s="5">
        <v>42132</v>
      </c>
      <c r="D501" t="s">
        <v>172</v>
      </c>
      <c r="E501" t="s">
        <v>12</v>
      </c>
      <c r="F501" t="s">
        <v>35</v>
      </c>
      <c r="G501" t="s">
        <v>12</v>
      </c>
      <c r="H501" t="s">
        <v>176</v>
      </c>
      <c r="I501" t="s">
        <v>174</v>
      </c>
      <c r="J501">
        <v>0</v>
      </c>
      <c r="K501" t="s">
        <v>35</v>
      </c>
      <c r="L501">
        <v>0</v>
      </c>
      <c r="M501">
        <v>6</v>
      </c>
      <c r="N501" t="s">
        <v>351</v>
      </c>
      <c r="O501" t="s">
        <v>94</v>
      </c>
      <c r="P501" t="str">
        <f>INDEX(Teams!$B:$B,MATCH(E501,Teams!$A:$A,0))</f>
        <v>Chennai Super Kings</v>
      </c>
      <c r="Q501" t="str">
        <f>INDEX(Teams!$B:$B,MATCH(F501,Teams!$A:$A,0))</f>
        <v>Mumbai Indians</v>
      </c>
      <c r="R501" t="str">
        <f>INDEX(Teams!$B:$B,MATCH(G501,Teams!$A:$A,0))</f>
        <v>Chennai Super Kings</v>
      </c>
      <c r="S501" t="str">
        <f>IF(K501="","No result",INDEX(Teams!$B:$B,MATCH(K501,Teams!$A:$A,0)))</f>
        <v>Mumbai Indians</v>
      </c>
      <c r="T501" t="str">
        <f>INDEX(Venues!$B:$B,MATCH(O501,Venues!$A:$A,0))</f>
        <v>MA Chidambaram Stadium</v>
      </c>
      <c r="U501" t="str">
        <f>INDEX(Venues!$C:$C,MATCH(O501,Venues!$A:$A,0))</f>
        <v>Chennai</v>
      </c>
      <c r="V501" t="str">
        <f>IF(L501&gt;0,L501&amp;" runs",IF(M501&gt;0,M501&amp;" wickets","-"))</f>
        <v>6 wickets</v>
      </c>
      <c r="W501">
        <f>IF(G501=K501,1,0)</f>
        <v>0</v>
      </c>
      <c r="X501">
        <f>IF(L501&gt;0,L501,"")</f>
        <v/>
      </c>
      <c r="Y501">
        <f>IF(X501="","",IF(X501&gt;Stats!$B$15,"Outlier",""))</f>
        <v/>
      </c>
      <c r="Z501" t="str">
        <f>P501&amp;" vs "&amp;Q501</f>
        <v>Chennai Super Kings vs Mumbai Indians</v>
      </c>
    </row>
    <row r="502" spans="1:26" x14ac:dyDescent="0.25">
      <c r="A502">
        <v>560</v>
      </c>
      <c r="B502">
        <v>2015</v>
      </c>
      <c r="C502" s="5">
        <v>42133</v>
      </c>
      <c r="D502" t="s">
        <v>172</v>
      </c>
      <c r="E502" t="s">
        <v>26</v>
      </c>
      <c r="F502" t="s">
        <v>32</v>
      </c>
      <c r="G502" t="s">
        <v>26</v>
      </c>
      <c r="H502" t="s">
        <v>176</v>
      </c>
      <c r="I502" t="s">
        <v>174</v>
      </c>
      <c r="J502">
        <v>0</v>
      </c>
      <c r="K502" t="s">
        <v>32</v>
      </c>
      <c r="L502">
        <v>0</v>
      </c>
      <c r="M502">
        <v>1</v>
      </c>
      <c r="N502" t="s">
        <v>344</v>
      </c>
      <c r="O502" t="s">
        <v>73</v>
      </c>
      <c r="P502" t="str">
        <f>INDEX(Teams!$B:$B,MATCH(E502,Teams!$A:$A,0))</f>
        <v>Kings XI Punjab</v>
      </c>
      <c r="Q502" t="str">
        <f>INDEX(Teams!$B:$B,MATCH(F502,Teams!$A:$A,0))</f>
        <v>Kolkata Knight Riders</v>
      </c>
      <c r="R502" t="str">
        <f>INDEX(Teams!$B:$B,MATCH(G502,Teams!$A:$A,0))</f>
        <v>Kings XI Punjab</v>
      </c>
      <c r="S502" t="str">
        <f>IF(K502="","No result",INDEX(Teams!$B:$B,MATCH(K502,Teams!$A:$A,0)))</f>
        <v>Kolkata Knight Riders</v>
      </c>
      <c r="T502" t="str">
        <f>INDEX(Venues!$B:$B,MATCH(O502,Venues!$A:$A,0))</f>
        <v>Eden Gardens</v>
      </c>
      <c r="U502" t="str">
        <f>INDEX(Venues!$C:$C,MATCH(O502,Venues!$A:$A,0))</f>
        <v>Kolkata</v>
      </c>
      <c r="V502" t="str">
        <f>IF(L502&gt;0,L502&amp;" runs",IF(M502&gt;0,M502&amp;" wickets","-"))</f>
        <v>1 wickets</v>
      </c>
      <c r="W502">
        <f>IF(G502=K502,1,0)</f>
        <v>0</v>
      </c>
      <c r="X502">
        <f>IF(L502&gt;0,L502,"")</f>
        <v/>
      </c>
      <c r="Y502">
        <f>IF(X502="","",IF(X502&gt;Stats!$B$15,"Outlier",""))</f>
        <v/>
      </c>
      <c r="Z502" t="str">
        <f>P502&amp;" vs "&amp;Q502</f>
        <v>Kings XI Punjab vs Kolkata Knight Riders</v>
      </c>
    </row>
    <row r="503" spans="1:26" x14ac:dyDescent="0.25">
      <c r="A503">
        <v>561</v>
      </c>
      <c r="B503">
        <v>2015</v>
      </c>
      <c r="C503" s="5">
        <v>42133</v>
      </c>
      <c r="D503" t="s">
        <v>172</v>
      </c>
      <c r="E503" t="s">
        <v>49</v>
      </c>
      <c r="F503" t="s">
        <v>20</v>
      </c>
      <c r="G503" t="s">
        <v>49</v>
      </c>
      <c r="H503" t="s">
        <v>176</v>
      </c>
      <c r="I503" t="s">
        <v>174</v>
      </c>
      <c r="J503">
        <v>0</v>
      </c>
      <c r="K503" t="s">
        <v>49</v>
      </c>
      <c r="L503">
        <v>6</v>
      </c>
      <c r="M503">
        <v>0</v>
      </c>
      <c r="N503" t="s">
        <v>352</v>
      </c>
      <c r="O503" t="s">
        <v>120</v>
      </c>
      <c r="P503" t="str">
        <f>INDEX(Teams!$B:$B,MATCH(E503,Teams!$A:$A,0))</f>
        <v>Sunrisers Hyderabad</v>
      </c>
      <c r="Q503" t="str">
        <f>INDEX(Teams!$B:$B,MATCH(F503,Teams!$A:$A,0))</f>
        <v>Delhi Capitals</v>
      </c>
      <c r="R503" t="str">
        <f>INDEX(Teams!$B:$B,MATCH(G503,Teams!$A:$A,0))</f>
        <v>Sunrisers Hyderabad</v>
      </c>
      <c r="S503" t="str">
        <f>IF(K503="","No result",INDEX(Teams!$B:$B,MATCH(K503,Teams!$A:$A,0)))</f>
        <v>Sunrisers Hyderabad</v>
      </c>
      <c r="T503" t="str">
        <f>INDEX(Venues!$B:$B,MATCH(O503,Venues!$A:$A,0))</f>
        <v>Shaheed Veer Narayan Singh International Stadium</v>
      </c>
      <c r="U503" t="str">
        <f>INDEX(Venues!$C:$C,MATCH(O503,Venues!$A:$A,0))</f>
        <v>Raipur</v>
      </c>
      <c r="V503" t="str">
        <f>IF(L503&gt;0,L503&amp;" runs",IF(M503&gt;0,M503&amp;" wickets","-"))</f>
        <v>6 runs</v>
      </c>
      <c r="W503">
        <f>IF(G503=K503,1,0)</f>
        <v>1</v>
      </c>
      <c r="X503">
        <f>IF(L503&gt;0,L503,"")</f>
        <v>6</v>
      </c>
      <c r="Y503">
        <f>IF(X503="","",IF(X503&gt;Stats!$B$15,"Outlier",""))</f>
        <v/>
      </c>
      <c r="Z503" t="str">
        <f>P503&amp;" vs "&amp;Q503</f>
        <v>Sunrisers Hyderabad vs Delhi Capitals</v>
      </c>
    </row>
    <row r="504" spans="1:26" x14ac:dyDescent="0.25">
      <c r="A504">
        <v>562</v>
      </c>
      <c r="B504">
        <v>2015</v>
      </c>
      <c r="C504" s="5">
        <v>42134</v>
      </c>
      <c r="D504" t="s">
        <v>172</v>
      </c>
      <c r="E504" t="s">
        <v>46</v>
      </c>
      <c r="F504" t="s">
        <v>35</v>
      </c>
      <c r="G504" t="s">
        <v>46</v>
      </c>
      <c r="H504" t="s">
        <v>176</v>
      </c>
      <c r="I504" t="s">
        <v>174</v>
      </c>
      <c r="J504">
        <v>0</v>
      </c>
      <c r="K504" t="s">
        <v>46</v>
      </c>
      <c r="L504">
        <v>39</v>
      </c>
      <c r="M504">
        <v>0</v>
      </c>
      <c r="N504" t="s">
        <v>223</v>
      </c>
      <c r="O504" t="s">
        <v>138</v>
      </c>
      <c r="P504" t="str">
        <f>INDEX(Teams!$B:$B,MATCH(E504,Teams!$A:$A,0))</f>
        <v>Royal Challengers Bangalore</v>
      </c>
      <c r="Q504" t="str">
        <f>INDEX(Teams!$B:$B,MATCH(F504,Teams!$A:$A,0))</f>
        <v>Mumbai Indians</v>
      </c>
      <c r="R504" t="str">
        <f>INDEX(Teams!$B:$B,MATCH(G504,Teams!$A:$A,0))</f>
        <v>Royal Challengers Bangalore</v>
      </c>
      <c r="S504" t="str">
        <f>IF(K504="","No result",INDEX(Teams!$B:$B,MATCH(K504,Teams!$A:$A,0)))</f>
        <v>Royal Challengers Bangalore</v>
      </c>
      <c r="T504" t="str">
        <f>INDEX(Venues!$B:$B,MATCH(O504,Venues!$A:$A,0))</f>
        <v>Wankhede Stadium</v>
      </c>
      <c r="U504" t="str">
        <f>INDEX(Venues!$C:$C,MATCH(O504,Venues!$A:$A,0))</f>
        <v>Mumbai</v>
      </c>
      <c r="V504" t="str">
        <f>IF(L504&gt;0,L504&amp;" runs",IF(M504&gt;0,M504&amp;" wickets","-"))</f>
        <v>39 runs</v>
      </c>
      <c r="W504">
        <f>IF(G504=K504,1,0)</f>
        <v>1</v>
      </c>
      <c r="X504">
        <f>IF(L504&gt;0,L504,"")</f>
        <v>39</v>
      </c>
      <c r="Y504">
        <f>IF(X504="","",IF(X504&gt;Stats!$B$15,"Outlier",""))</f>
        <v/>
      </c>
      <c r="Z504" t="str">
        <f>P504&amp;" vs "&amp;Q504</f>
        <v>Royal Challengers Bangalore vs Mumbai Indians</v>
      </c>
    </row>
    <row r="505" spans="1:26" x14ac:dyDescent="0.25">
      <c r="A505">
        <v>563</v>
      </c>
      <c r="B505">
        <v>2015</v>
      </c>
      <c r="C505" s="5">
        <v>42134</v>
      </c>
      <c r="D505" t="s">
        <v>172</v>
      </c>
      <c r="E505" t="s">
        <v>12</v>
      </c>
      <c r="F505" t="s">
        <v>41</v>
      </c>
      <c r="G505" t="s">
        <v>12</v>
      </c>
      <c r="H505" t="s">
        <v>176</v>
      </c>
      <c r="I505" t="s">
        <v>174</v>
      </c>
      <c r="J505">
        <v>0</v>
      </c>
      <c r="K505" t="s">
        <v>12</v>
      </c>
      <c r="L505">
        <v>12</v>
      </c>
      <c r="M505">
        <v>0</v>
      </c>
      <c r="N505" t="s">
        <v>299</v>
      </c>
      <c r="O505" t="s">
        <v>94</v>
      </c>
      <c r="P505" t="str">
        <f>INDEX(Teams!$B:$B,MATCH(E505,Teams!$A:$A,0))</f>
        <v>Chennai Super Kings</v>
      </c>
      <c r="Q505" t="str">
        <f>INDEX(Teams!$B:$B,MATCH(F505,Teams!$A:$A,0))</f>
        <v>Rajasthan Royals</v>
      </c>
      <c r="R505" t="str">
        <f>INDEX(Teams!$B:$B,MATCH(G505,Teams!$A:$A,0))</f>
        <v>Chennai Super Kings</v>
      </c>
      <c r="S505" t="str">
        <f>IF(K505="","No result",INDEX(Teams!$B:$B,MATCH(K505,Teams!$A:$A,0)))</f>
        <v>Chennai Super Kings</v>
      </c>
      <c r="T505" t="str">
        <f>INDEX(Venues!$B:$B,MATCH(O505,Venues!$A:$A,0))</f>
        <v>MA Chidambaram Stadium</v>
      </c>
      <c r="U505" t="str">
        <f>INDEX(Venues!$C:$C,MATCH(O505,Venues!$A:$A,0))</f>
        <v>Chennai</v>
      </c>
      <c r="V505" t="str">
        <f>IF(L505&gt;0,L505&amp;" runs",IF(M505&gt;0,M505&amp;" wickets","-"))</f>
        <v>12 runs</v>
      </c>
      <c r="W505">
        <f>IF(G505=K505,1,0)</f>
        <v>1</v>
      </c>
      <c r="X505">
        <f>IF(L505&gt;0,L505,"")</f>
        <v>12</v>
      </c>
      <c r="Y505">
        <f>IF(X505="","",IF(X505&gt;Stats!$B$15,"Outlier",""))</f>
        <v/>
      </c>
      <c r="Z505" t="str">
        <f>P505&amp;" vs "&amp;Q505</f>
        <v>Chennai Super Kings vs Rajasthan Royals</v>
      </c>
    </row>
    <row r="506" spans="1:26" x14ac:dyDescent="0.25">
      <c r="A506">
        <v>564</v>
      </c>
      <c r="B506">
        <v>2015</v>
      </c>
      <c r="C506" s="5">
        <v>42135</v>
      </c>
      <c r="D506" t="s">
        <v>172</v>
      </c>
      <c r="E506" t="s">
        <v>49</v>
      </c>
      <c r="F506" t="s">
        <v>26</v>
      </c>
      <c r="G506" t="s">
        <v>49</v>
      </c>
      <c r="H506" t="s">
        <v>176</v>
      </c>
      <c r="I506" t="s">
        <v>174</v>
      </c>
      <c r="J506">
        <v>0</v>
      </c>
      <c r="K506" t="s">
        <v>49</v>
      </c>
      <c r="L506">
        <v>5</v>
      </c>
      <c r="M506">
        <v>0</v>
      </c>
      <c r="N506" t="s">
        <v>257</v>
      </c>
      <c r="O506" t="s">
        <v>111</v>
      </c>
      <c r="P506" t="str">
        <f>INDEX(Teams!$B:$B,MATCH(E506,Teams!$A:$A,0))</f>
        <v>Sunrisers Hyderabad</v>
      </c>
      <c r="Q506" t="str">
        <f>INDEX(Teams!$B:$B,MATCH(F506,Teams!$A:$A,0))</f>
        <v>Kings XI Punjab</v>
      </c>
      <c r="R506" t="str">
        <f>INDEX(Teams!$B:$B,MATCH(G506,Teams!$A:$A,0))</f>
        <v>Sunrisers Hyderabad</v>
      </c>
      <c r="S506" t="str">
        <f>IF(K506="","No result",INDEX(Teams!$B:$B,MATCH(K506,Teams!$A:$A,0)))</f>
        <v>Sunrisers Hyderabad</v>
      </c>
      <c r="T506" t="str">
        <f>INDEX(Venues!$B:$B,MATCH(O506,Venues!$A:$A,0))</f>
        <v>Rajiv Gandhi International Stadium</v>
      </c>
      <c r="U506" t="str">
        <f>INDEX(Venues!$C:$C,MATCH(O506,Venues!$A:$A,0))</f>
        <v>Hyderabad</v>
      </c>
      <c r="V506" t="str">
        <f>IF(L506&gt;0,L506&amp;" runs",IF(M506&gt;0,M506&amp;" wickets","-"))</f>
        <v>5 runs</v>
      </c>
      <c r="W506">
        <f>IF(G506=K506,1,0)</f>
        <v>1</v>
      </c>
      <c r="X506">
        <f>IF(L506&gt;0,L506,"")</f>
        <v>5</v>
      </c>
      <c r="Y506">
        <f>IF(X506="","",IF(X506&gt;Stats!$B$15,"Outlier",""))</f>
        <v/>
      </c>
      <c r="Z506" t="str">
        <f>P506&amp;" vs "&amp;Q506</f>
        <v>Sunrisers Hyderabad vs Kings XI Punjab</v>
      </c>
    </row>
    <row r="507" spans="1:26" x14ac:dyDescent="0.25">
      <c r="A507">
        <v>565</v>
      </c>
      <c r="B507">
        <v>2015</v>
      </c>
      <c r="C507" s="5">
        <v>42136</v>
      </c>
      <c r="D507" t="s">
        <v>172</v>
      </c>
      <c r="E507" t="s">
        <v>12</v>
      </c>
      <c r="F507" t="s">
        <v>20</v>
      </c>
      <c r="G507" t="s">
        <v>12</v>
      </c>
      <c r="H507" t="s">
        <v>176</v>
      </c>
      <c r="I507" t="s">
        <v>174</v>
      </c>
      <c r="J507">
        <v>0</v>
      </c>
      <c r="K507" t="s">
        <v>20</v>
      </c>
      <c r="L507">
        <v>0</v>
      </c>
      <c r="M507">
        <v>6</v>
      </c>
      <c r="N507" t="s">
        <v>353</v>
      </c>
      <c r="O507" t="s">
        <v>120</v>
      </c>
      <c r="P507" t="str">
        <f>INDEX(Teams!$B:$B,MATCH(E507,Teams!$A:$A,0))</f>
        <v>Chennai Super Kings</v>
      </c>
      <c r="Q507" t="str">
        <f>INDEX(Teams!$B:$B,MATCH(F507,Teams!$A:$A,0))</f>
        <v>Delhi Capitals</v>
      </c>
      <c r="R507" t="str">
        <f>INDEX(Teams!$B:$B,MATCH(G507,Teams!$A:$A,0))</f>
        <v>Chennai Super Kings</v>
      </c>
      <c r="S507" t="str">
        <f>IF(K507="","No result",INDEX(Teams!$B:$B,MATCH(K507,Teams!$A:$A,0)))</f>
        <v>Delhi Capitals</v>
      </c>
      <c r="T507" t="str">
        <f>INDEX(Venues!$B:$B,MATCH(O507,Venues!$A:$A,0))</f>
        <v>Shaheed Veer Narayan Singh International Stadium</v>
      </c>
      <c r="U507" t="str">
        <f>INDEX(Venues!$C:$C,MATCH(O507,Venues!$A:$A,0))</f>
        <v>Raipur</v>
      </c>
      <c r="V507" t="str">
        <f>IF(L507&gt;0,L507&amp;" runs",IF(M507&gt;0,M507&amp;" wickets","-"))</f>
        <v>6 wickets</v>
      </c>
      <c r="W507">
        <f>IF(G507=K507,1,0)</f>
        <v>0</v>
      </c>
      <c r="X507">
        <f>IF(L507&gt;0,L507,"")</f>
        <v/>
      </c>
      <c r="Y507">
        <f>IF(X507="","",IF(X507&gt;Stats!$B$15,"Outlier",""))</f>
        <v/>
      </c>
      <c r="Z507" t="str">
        <f>P507&amp;" vs "&amp;Q507</f>
        <v>Chennai Super Kings vs Delhi Capitals</v>
      </c>
    </row>
    <row r="508" spans="1:26" x14ac:dyDescent="0.25">
      <c r="A508">
        <v>566</v>
      </c>
      <c r="B508">
        <v>2015</v>
      </c>
      <c r="C508" s="5">
        <v>42137</v>
      </c>
      <c r="D508" t="s">
        <v>172</v>
      </c>
      <c r="E508" t="s">
        <v>26</v>
      </c>
      <c r="F508" t="s">
        <v>46</v>
      </c>
      <c r="G508" t="s">
        <v>46</v>
      </c>
      <c r="H508" t="s">
        <v>173</v>
      </c>
      <c r="I508" t="s">
        <v>174</v>
      </c>
      <c r="J508">
        <v>0</v>
      </c>
      <c r="K508" t="s">
        <v>26</v>
      </c>
      <c r="L508">
        <v>22</v>
      </c>
      <c r="M508">
        <v>0</v>
      </c>
      <c r="N508" t="s">
        <v>339</v>
      </c>
      <c r="O508" t="s">
        <v>109</v>
      </c>
      <c r="P508" t="str">
        <f>INDEX(Teams!$B:$B,MATCH(E508,Teams!$A:$A,0))</f>
        <v>Kings XI Punjab</v>
      </c>
      <c r="Q508" t="str">
        <f>INDEX(Teams!$B:$B,MATCH(F508,Teams!$A:$A,0))</f>
        <v>Royal Challengers Bangalore</v>
      </c>
      <c r="R508" t="str">
        <f>INDEX(Teams!$B:$B,MATCH(G508,Teams!$A:$A,0))</f>
        <v>Royal Challengers Bangalore</v>
      </c>
      <c r="S508" t="str">
        <f>IF(K508="","No result",INDEX(Teams!$B:$B,MATCH(K508,Teams!$A:$A,0)))</f>
        <v>Kings XI Punjab</v>
      </c>
      <c r="T508" t="str">
        <f>INDEX(Venues!$B:$B,MATCH(O508,Venues!$A:$A,0))</f>
        <v>Punjab Cricket Association IS Bindra Stadium</v>
      </c>
      <c r="U508" t="str">
        <f>INDEX(Venues!$C:$C,MATCH(O508,Venues!$A:$A,0))</f>
        <v>Chandigarh</v>
      </c>
      <c r="V508" t="str">
        <f>IF(L508&gt;0,L508&amp;" runs",IF(M508&gt;0,M508&amp;" wickets","-"))</f>
        <v>22 runs</v>
      </c>
      <c r="W508">
        <f>IF(G508=K508,1,0)</f>
        <v>0</v>
      </c>
      <c r="X508">
        <f>IF(L508&gt;0,L508,"")</f>
        <v>22</v>
      </c>
      <c r="Y508">
        <f>IF(X508="","",IF(X508&gt;Stats!$B$15,"Outlier",""))</f>
        <v/>
      </c>
      <c r="Z508" t="str">
        <f>P508&amp;" vs "&amp;Q508</f>
        <v>Kings XI Punjab vs Royal Challengers Bangalore</v>
      </c>
    </row>
    <row r="509" spans="1:26" x14ac:dyDescent="0.25">
      <c r="A509">
        <v>567</v>
      </c>
      <c r="B509">
        <v>2015</v>
      </c>
      <c r="C509" s="5">
        <v>42138</v>
      </c>
      <c r="D509" t="s">
        <v>172</v>
      </c>
      <c r="E509" t="s">
        <v>35</v>
      </c>
      <c r="F509" t="s">
        <v>32</v>
      </c>
      <c r="G509" t="s">
        <v>32</v>
      </c>
      <c r="H509" t="s">
        <v>173</v>
      </c>
      <c r="I509" t="s">
        <v>174</v>
      </c>
      <c r="J509">
        <v>0</v>
      </c>
      <c r="K509" t="s">
        <v>35</v>
      </c>
      <c r="L509">
        <v>5</v>
      </c>
      <c r="M509">
        <v>0</v>
      </c>
      <c r="N509" t="s">
        <v>351</v>
      </c>
      <c r="O509" t="s">
        <v>138</v>
      </c>
      <c r="P509" t="str">
        <f>INDEX(Teams!$B:$B,MATCH(E509,Teams!$A:$A,0))</f>
        <v>Mumbai Indians</v>
      </c>
      <c r="Q509" t="str">
        <f>INDEX(Teams!$B:$B,MATCH(F509,Teams!$A:$A,0))</f>
        <v>Kolkata Knight Riders</v>
      </c>
      <c r="R509" t="str">
        <f>INDEX(Teams!$B:$B,MATCH(G509,Teams!$A:$A,0))</f>
        <v>Kolkata Knight Riders</v>
      </c>
      <c r="S509" t="str">
        <f>IF(K509="","No result",INDEX(Teams!$B:$B,MATCH(K509,Teams!$A:$A,0)))</f>
        <v>Mumbai Indians</v>
      </c>
      <c r="T509" t="str">
        <f>INDEX(Venues!$B:$B,MATCH(O509,Venues!$A:$A,0))</f>
        <v>Wankhede Stadium</v>
      </c>
      <c r="U509" t="str">
        <f>INDEX(Venues!$C:$C,MATCH(O509,Venues!$A:$A,0))</f>
        <v>Mumbai</v>
      </c>
      <c r="V509" t="str">
        <f>IF(L509&gt;0,L509&amp;" runs",IF(M509&gt;0,M509&amp;" wickets","-"))</f>
        <v>5 runs</v>
      </c>
      <c r="W509">
        <f>IF(G509=K509,1,0)</f>
        <v>0</v>
      </c>
      <c r="X509">
        <f>IF(L509&gt;0,L509,"")</f>
        <v>5</v>
      </c>
      <c r="Y509">
        <f>IF(X509="","",IF(X509&gt;Stats!$B$15,"Outlier",""))</f>
        <v/>
      </c>
      <c r="Z509" t="str">
        <f>P509&amp;" vs "&amp;Q509</f>
        <v>Mumbai Indians vs Kolkata Knight Riders</v>
      </c>
    </row>
    <row r="510" spans="1:26" x14ac:dyDescent="0.25">
      <c r="A510">
        <v>568</v>
      </c>
      <c r="B510">
        <v>2015</v>
      </c>
      <c r="C510" s="5">
        <v>42139</v>
      </c>
      <c r="D510" t="s">
        <v>172</v>
      </c>
      <c r="E510" t="s">
        <v>49</v>
      </c>
      <c r="F510" t="s">
        <v>46</v>
      </c>
      <c r="G510" t="s">
        <v>49</v>
      </c>
      <c r="H510" t="s">
        <v>176</v>
      </c>
      <c r="I510" t="s">
        <v>174</v>
      </c>
      <c r="J510">
        <v>1</v>
      </c>
      <c r="K510" t="s">
        <v>46</v>
      </c>
      <c r="L510">
        <v>0</v>
      </c>
      <c r="M510">
        <v>6</v>
      </c>
      <c r="N510" t="s">
        <v>282</v>
      </c>
      <c r="O510" t="s">
        <v>111</v>
      </c>
      <c r="P510" t="str">
        <f>INDEX(Teams!$B:$B,MATCH(E510,Teams!$A:$A,0))</f>
        <v>Sunrisers Hyderabad</v>
      </c>
      <c r="Q510" t="str">
        <f>INDEX(Teams!$B:$B,MATCH(F510,Teams!$A:$A,0))</f>
        <v>Royal Challengers Bangalore</v>
      </c>
      <c r="R510" t="str">
        <f>INDEX(Teams!$B:$B,MATCH(G510,Teams!$A:$A,0))</f>
        <v>Sunrisers Hyderabad</v>
      </c>
      <c r="S510" t="str">
        <f>IF(K510="","No result",INDEX(Teams!$B:$B,MATCH(K510,Teams!$A:$A,0)))</f>
        <v>Royal Challengers Bangalore</v>
      </c>
      <c r="T510" t="str">
        <f>INDEX(Venues!$B:$B,MATCH(O510,Venues!$A:$A,0))</f>
        <v>Rajiv Gandhi International Stadium</v>
      </c>
      <c r="U510" t="str">
        <f>INDEX(Venues!$C:$C,MATCH(O510,Venues!$A:$A,0))</f>
        <v>Hyderabad</v>
      </c>
      <c r="V510" t="str">
        <f>IF(L510&gt;0,L510&amp;" runs",IF(M510&gt;0,M510&amp;" wickets","-"))</f>
        <v>6 wickets</v>
      </c>
      <c r="W510">
        <f>IF(G510=K510,1,0)</f>
        <v>0</v>
      </c>
      <c r="X510">
        <f>IF(L510&gt;0,L510,"")</f>
        <v/>
      </c>
      <c r="Y510">
        <f>IF(X510="","",IF(X510&gt;Stats!$B$15,"Outlier",""))</f>
        <v/>
      </c>
      <c r="Z510" t="str">
        <f>P510&amp;" vs "&amp;Q510</f>
        <v>Sunrisers Hyderabad vs Royal Challengers Bangalore</v>
      </c>
    </row>
    <row r="511" spans="1:26" x14ac:dyDescent="0.25">
      <c r="A511">
        <v>569</v>
      </c>
      <c r="B511">
        <v>2015</v>
      </c>
      <c r="C511" s="5">
        <v>42140</v>
      </c>
      <c r="D511" t="s">
        <v>172</v>
      </c>
      <c r="E511" t="s">
        <v>26</v>
      </c>
      <c r="F511" t="s">
        <v>12</v>
      </c>
      <c r="G511" t="s">
        <v>26</v>
      </c>
      <c r="H511" t="s">
        <v>176</v>
      </c>
      <c r="I511" t="s">
        <v>174</v>
      </c>
      <c r="J511">
        <v>0</v>
      </c>
      <c r="K511" t="s">
        <v>12</v>
      </c>
      <c r="L511">
        <v>0</v>
      </c>
      <c r="M511">
        <v>7</v>
      </c>
      <c r="N511" t="s">
        <v>311</v>
      </c>
      <c r="O511" t="s">
        <v>109</v>
      </c>
      <c r="P511" t="str">
        <f>INDEX(Teams!$B:$B,MATCH(E511,Teams!$A:$A,0))</f>
        <v>Kings XI Punjab</v>
      </c>
      <c r="Q511" t="str">
        <f>INDEX(Teams!$B:$B,MATCH(F511,Teams!$A:$A,0))</f>
        <v>Chennai Super Kings</v>
      </c>
      <c r="R511" t="str">
        <f>INDEX(Teams!$B:$B,MATCH(G511,Teams!$A:$A,0))</f>
        <v>Kings XI Punjab</v>
      </c>
      <c r="S511" t="str">
        <f>IF(K511="","No result",INDEX(Teams!$B:$B,MATCH(K511,Teams!$A:$A,0)))</f>
        <v>Chennai Super Kings</v>
      </c>
      <c r="T511" t="str">
        <f>INDEX(Venues!$B:$B,MATCH(O511,Venues!$A:$A,0))</f>
        <v>Punjab Cricket Association IS Bindra Stadium</v>
      </c>
      <c r="U511" t="str">
        <f>INDEX(Venues!$C:$C,MATCH(O511,Venues!$A:$A,0))</f>
        <v>Chandigarh</v>
      </c>
      <c r="V511" t="str">
        <f>IF(L511&gt;0,L511&amp;" runs",IF(M511&gt;0,M511&amp;" wickets","-"))</f>
        <v>7 wickets</v>
      </c>
      <c r="W511">
        <f>IF(G511=K511,1,0)</f>
        <v>0</v>
      </c>
      <c r="X511">
        <f>IF(L511&gt;0,L511,"")</f>
        <v/>
      </c>
      <c r="Y511">
        <f>IF(X511="","",IF(X511&gt;Stats!$B$15,"Outlier",""))</f>
        <v/>
      </c>
      <c r="Z511" t="str">
        <f>P511&amp;" vs "&amp;Q511</f>
        <v>Kings XI Punjab vs Chennai Super Kings</v>
      </c>
    </row>
    <row r="512" spans="1:26" x14ac:dyDescent="0.25">
      <c r="A512">
        <v>570</v>
      </c>
      <c r="B512">
        <v>2015</v>
      </c>
      <c r="C512" s="5">
        <v>42140</v>
      </c>
      <c r="D512" t="s">
        <v>172</v>
      </c>
      <c r="E512" t="s">
        <v>41</v>
      </c>
      <c r="F512" t="s">
        <v>32</v>
      </c>
      <c r="G512" t="s">
        <v>41</v>
      </c>
      <c r="H512" t="s">
        <v>176</v>
      </c>
      <c r="I512" t="s">
        <v>174</v>
      </c>
      <c r="J512">
        <v>0</v>
      </c>
      <c r="K512" t="s">
        <v>41</v>
      </c>
      <c r="L512">
        <v>9</v>
      </c>
      <c r="M512">
        <v>0</v>
      </c>
      <c r="N512" t="s">
        <v>181</v>
      </c>
      <c r="O512" t="s">
        <v>57</v>
      </c>
      <c r="P512" t="str">
        <f>INDEX(Teams!$B:$B,MATCH(E512,Teams!$A:$A,0))</f>
        <v>Rajasthan Royals</v>
      </c>
      <c r="Q512" t="str">
        <f>INDEX(Teams!$B:$B,MATCH(F512,Teams!$A:$A,0))</f>
        <v>Kolkata Knight Riders</v>
      </c>
      <c r="R512" t="str">
        <f>INDEX(Teams!$B:$B,MATCH(G512,Teams!$A:$A,0))</f>
        <v>Rajasthan Royals</v>
      </c>
      <c r="S512" t="str">
        <f>IF(K512="","No result",INDEX(Teams!$B:$B,MATCH(K512,Teams!$A:$A,0)))</f>
        <v>Rajasthan Royals</v>
      </c>
      <c r="T512" t="str">
        <f>INDEX(Venues!$B:$B,MATCH(O512,Venues!$A:$A,0))</f>
        <v>Brabourne Stadium</v>
      </c>
      <c r="U512" t="str">
        <f>INDEX(Venues!$C:$C,MATCH(O512,Venues!$A:$A,0))</f>
        <v>Mumbai</v>
      </c>
      <c r="V512" t="str">
        <f>IF(L512&gt;0,L512&amp;" runs",IF(M512&gt;0,M512&amp;" wickets","-"))</f>
        <v>9 runs</v>
      </c>
      <c r="W512">
        <f>IF(G512=K512,1,0)</f>
        <v>1</v>
      </c>
      <c r="X512">
        <f>IF(L512&gt;0,L512,"")</f>
        <v>9</v>
      </c>
      <c r="Y512">
        <f>IF(X512="","",IF(X512&gt;Stats!$B$15,"Outlier",""))</f>
        <v/>
      </c>
      <c r="Z512" t="str">
        <f>P512&amp;" vs "&amp;Q512</f>
        <v>Rajasthan Royals vs Kolkata Knight Riders</v>
      </c>
    </row>
    <row r="513" spans="1:26" x14ac:dyDescent="0.25">
      <c r="A513">
        <v>571</v>
      </c>
      <c r="B513">
        <v>2015</v>
      </c>
      <c r="C513" s="5">
        <v>42141</v>
      </c>
      <c r="D513" t="s">
        <v>172</v>
      </c>
      <c r="E513" t="s">
        <v>20</v>
      </c>
      <c r="F513" t="s">
        <v>46</v>
      </c>
      <c r="G513" t="s">
        <v>46</v>
      </c>
      <c r="H513" t="s">
        <v>173</v>
      </c>
      <c r="I513" t="s">
        <v>293</v>
      </c>
      <c r="J513">
        <v>0</v>
      </c>
      <c r="L513">
        <v>0</v>
      </c>
      <c r="M513">
        <v>0</v>
      </c>
      <c r="N513" t="s">
        <v>294</v>
      </c>
      <c r="O513" t="s">
        <v>92</v>
      </c>
      <c r="P513" t="str">
        <f>INDEX(Teams!$B:$B,MATCH(E513,Teams!$A:$A,0))</f>
        <v>Delhi Capitals</v>
      </c>
      <c r="Q513" t="str">
        <f>INDEX(Teams!$B:$B,MATCH(F513,Teams!$A:$A,0))</f>
        <v>Royal Challengers Bangalore</v>
      </c>
      <c r="R513" t="str">
        <f>INDEX(Teams!$B:$B,MATCH(G513,Teams!$A:$A,0))</f>
        <v>Royal Challengers Bangalore</v>
      </c>
      <c r="S513" t="str">
        <f>IF(K513="","No result",INDEX(Teams!$B:$B,MATCH(K513,Teams!$A:$A,0)))</f>
        <v>No result</v>
      </c>
      <c r="T513" t="str">
        <f>INDEX(Venues!$B:$B,MATCH(O513,Venues!$A:$A,0))</f>
        <v>M Chinnaswamy Stadium</v>
      </c>
      <c r="U513" t="str">
        <f>INDEX(Venues!$C:$C,MATCH(O513,Venues!$A:$A,0))</f>
        <v>Bangalore</v>
      </c>
      <c r="V513" t="str">
        <f>IF(L513&gt;0,L513&amp;" runs",IF(M513&gt;0,M513&amp;" wickets","-"))</f>
        <v>-</v>
      </c>
      <c r="W513">
        <f>IF(G513=K513,1,0)</f>
        <v>0</v>
      </c>
      <c r="X513">
        <f>IF(L513&gt;0,L513,"")</f>
        <v/>
      </c>
      <c r="Y513">
        <f>IF(X513="","",IF(X513&gt;Stats!$B$15,"Outlier",""))</f>
        <v/>
      </c>
      <c r="Z513" t="str">
        <f>P513&amp;" vs "&amp;Q513</f>
        <v>Delhi Capitals vs Royal Challengers Bangalore</v>
      </c>
    </row>
    <row r="514" spans="1:26" x14ac:dyDescent="0.25">
      <c r="A514">
        <v>572</v>
      </c>
      <c r="B514">
        <v>2015</v>
      </c>
      <c r="C514" s="5">
        <v>42141</v>
      </c>
      <c r="D514" t="s">
        <v>172</v>
      </c>
      <c r="E514" t="s">
        <v>49</v>
      </c>
      <c r="F514" t="s">
        <v>35</v>
      </c>
      <c r="G514" t="s">
        <v>49</v>
      </c>
      <c r="H514" t="s">
        <v>176</v>
      </c>
      <c r="I514" t="s">
        <v>174</v>
      </c>
      <c r="J514">
        <v>0</v>
      </c>
      <c r="K514" t="s">
        <v>35</v>
      </c>
      <c r="L514">
        <v>0</v>
      </c>
      <c r="M514">
        <v>9</v>
      </c>
      <c r="N514" t="s">
        <v>354</v>
      </c>
      <c r="O514" t="s">
        <v>111</v>
      </c>
      <c r="P514" t="str">
        <f>INDEX(Teams!$B:$B,MATCH(E514,Teams!$A:$A,0))</f>
        <v>Sunrisers Hyderabad</v>
      </c>
      <c r="Q514" t="str">
        <f>INDEX(Teams!$B:$B,MATCH(F514,Teams!$A:$A,0))</f>
        <v>Mumbai Indians</v>
      </c>
      <c r="R514" t="str">
        <f>INDEX(Teams!$B:$B,MATCH(G514,Teams!$A:$A,0))</f>
        <v>Sunrisers Hyderabad</v>
      </c>
      <c r="S514" t="str">
        <f>IF(K514="","No result",INDEX(Teams!$B:$B,MATCH(K514,Teams!$A:$A,0)))</f>
        <v>Mumbai Indians</v>
      </c>
      <c r="T514" t="str">
        <f>INDEX(Venues!$B:$B,MATCH(O514,Venues!$A:$A,0))</f>
        <v>Rajiv Gandhi International Stadium</v>
      </c>
      <c r="U514" t="str">
        <f>INDEX(Venues!$C:$C,MATCH(O514,Venues!$A:$A,0))</f>
        <v>Hyderabad</v>
      </c>
      <c r="V514" t="str">
        <f>IF(L514&gt;0,L514&amp;" runs",IF(M514&gt;0,M514&amp;" wickets","-"))</f>
        <v>9 wickets</v>
      </c>
      <c r="W514">
        <f>IF(G514=K514,1,0)</f>
        <v>0</v>
      </c>
      <c r="X514">
        <f>IF(L514&gt;0,L514,"")</f>
        <v/>
      </c>
      <c r="Y514">
        <f>IF(X514="","",IF(X514&gt;Stats!$B$15,"Outlier",""))</f>
        <v/>
      </c>
      <c r="Z514" t="str">
        <f>P514&amp;" vs "&amp;Q514</f>
        <v>Sunrisers Hyderabad vs Mumbai Indians</v>
      </c>
    </row>
    <row r="515" spans="1:26" x14ac:dyDescent="0.25">
      <c r="A515">
        <v>573</v>
      </c>
      <c r="B515">
        <v>2015</v>
      </c>
      <c r="C515" s="5">
        <v>42143</v>
      </c>
      <c r="D515" t="s">
        <v>172</v>
      </c>
      <c r="E515" t="s">
        <v>35</v>
      </c>
      <c r="F515" t="s">
        <v>12</v>
      </c>
      <c r="G515" t="s">
        <v>35</v>
      </c>
      <c r="H515" t="s">
        <v>176</v>
      </c>
      <c r="I515" t="s">
        <v>174</v>
      </c>
      <c r="J515">
        <v>0</v>
      </c>
      <c r="K515" t="s">
        <v>35</v>
      </c>
      <c r="L515">
        <v>25</v>
      </c>
      <c r="M515">
        <v>0</v>
      </c>
      <c r="N515" t="s">
        <v>268</v>
      </c>
      <c r="O515" t="s">
        <v>138</v>
      </c>
      <c r="P515" t="str">
        <f>INDEX(Teams!$B:$B,MATCH(E515,Teams!$A:$A,0))</f>
        <v>Mumbai Indians</v>
      </c>
      <c r="Q515" t="str">
        <f>INDEX(Teams!$B:$B,MATCH(F515,Teams!$A:$A,0))</f>
        <v>Chennai Super Kings</v>
      </c>
      <c r="R515" t="str">
        <f>INDEX(Teams!$B:$B,MATCH(G515,Teams!$A:$A,0))</f>
        <v>Mumbai Indians</v>
      </c>
      <c r="S515" t="str">
        <f>IF(K515="","No result",INDEX(Teams!$B:$B,MATCH(K515,Teams!$A:$A,0)))</f>
        <v>Mumbai Indians</v>
      </c>
      <c r="T515" t="str">
        <f>INDEX(Venues!$B:$B,MATCH(O515,Venues!$A:$A,0))</f>
        <v>Wankhede Stadium</v>
      </c>
      <c r="U515" t="str">
        <f>INDEX(Venues!$C:$C,MATCH(O515,Venues!$A:$A,0))</f>
        <v>Mumbai</v>
      </c>
      <c r="V515" t="str">
        <f>IF(L515&gt;0,L515&amp;" runs",IF(M515&gt;0,M515&amp;" wickets","-"))</f>
        <v>25 runs</v>
      </c>
      <c r="W515">
        <f>IF(G515=K515,1,0)</f>
        <v>1</v>
      </c>
      <c r="X515">
        <f>IF(L515&gt;0,L515,"")</f>
        <v>25</v>
      </c>
      <c r="Y515">
        <f>IF(X515="","",IF(X515&gt;Stats!$B$15,"Outlier",""))</f>
        <v/>
      </c>
      <c r="Z515" t="str">
        <f>P515&amp;" vs "&amp;Q515</f>
        <v>Mumbai Indians vs Chennai Super Kings</v>
      </c>
    </row>
    <row r="516" spans="1:26" x14ac:dyDescent="0.25">
      <c r="A516">
        <v>574</v>
      </c>
      <c r="B516">
        <v>2015</v>
      </c>
      <c r="C516" s="5">
        <v>42144</v>
      </c>
      <c r="D516" t="s">
        <v>172</v>
      </c>
      <c r="E516" t="s">
        <v>46</v>
      </c>
      <c r="F516" t="s">
        <v>41</v>
      </c>
      <c r="G516" t="s">
        <v>46</v>
      </c>
      <c r="H516" t="s">
        <v>176</v>
      </c>
      <c r="I516" t="s">
        <v>174</v>
      </c>
      <c r="J516">
        <v>0</v>
      </c>
      <c r="K516" t="s">
        <v>46</v>
      </c>
      <c r="L516">
        <v>71</v>
      </c>
      <c r="M516">
        <v>0</v>
      </c>
      <c r="N516" t="s">
        <v>223</v>
      </c>
      <c r="O516" t="s">
        <v>96</v>
      </c>
      <c r="P516" t="str">
        <f>INDEX(Teams!$B:$B,MATCH(E516,Teams!$A:$A,0))</f>
        <v>Royal Challengers Bangalore</v>
      </c>
      <c r="Q516" t="str">
        <f>INDEX(Teams!$B:$B,MATCH(F516,Teams!$A:$A,0))</f>
        <v>Rajasthan Royals</v>
      </c>
      <c r="R516" t="str">
        <f>INDEX(Teams!$B:$B,MATCH(G516,Teams!$A:$A,0))</f>
        <v>Royal Challengers Bangalore</v>
      </c>
      <c r="S516" t="str">
        <f>IF(K516="","No result",INDEX(Teams!$B:$B,MATCH(K516,Teams!$A:$A,0)))</f>
        <v>Royal Challengers Bangalore</v>
      </c>
      <c r="T516" t="str">
        <f>INDEX(Venues!$B:$B,MATCH(O516,Venues!$A:$A,0))</f>
        <v>Maharashtra Cricket Association Stadium</v>
      </c>
      <c r="U516" t="str">
        <f>INDEX(Venues!$C:$C,MATCH(O516,Venues!$A:$A,0))</f>
        <v>Pune</v>
      </c>
      <c r="V516" t="str">
        <f>IF(L516&gt;0,L516&amp;" runs",IF(M516&gt;0,M516&amp;" wickets","-"))</f>
        <v>71 runs</v>
      </c>
      <c r="W516">
        <f>IF(G516=K516,1,0)</f>
        <v>1</v>
      </c>
      <c r="X516">
        <f>IF(L516&gt;0,L516,"")</f>
        <v>71</v>
      </c>
      <c r="Y516">
        <f>IF(X516="","",IF(X516&gt;Stats!$B$15,"Outlier",""))</f>
        <v/>
      </c>
      <c r="Z516" t="str">
        <f>P516&amp;" vs "&amp;Q516</f>
        <v>Royal Challengers Bangalore vs Rajasthan Royals</v>
      </c>
    </row>
    <row r="517" spans="1:26" x14ac:dyDescent="0.25">
      <c r="A517">
        <v>575</v>
      </c>
      <c r="B517">
        <v>2015</v>
      </c>
      <c r="C517" s="5">
        <v>42146</v>
      </c>
      <c r="D517" t="s">
        <v>172</v>
      </c>
      <c r="E517" t="s">
        <v>46</v>
      </c>
      <c r="F517" t="s">
        <v>12</v>
      </c>
      <c r="G517" t="s">
        <v>12</v>
      </c>
      <c r="H517" t="s">
        <v>173</v>
      </c>
      <c r="I517" t="s">
        <v>174</v>
      </c>
      <c r="J517">
        <v>0</v>
      </c>
      <c r="K517" t="s">
        <v>12</v>
      </c>
      <c r="L517">
        <v>0</v>
      </c>
      <c r="M517">
        <v>3</v>
      </c>
      <c r="N517" t="s">
        <v>199</v>
      </c>
      <c r="O517" t="s">
        <v>86</v>
      </c>
      <c r="P517" t="str">
        <f>INDEX(Teams!$B:$B,MATCH(E517,Teams!$A:$A,0))</f>
        <v>Royal Challengers Bangalore</v>
      </c>
      <c r="Q517" t="str">
        <f>INDEX(Teams!$B:$B,MATCH(F517,Teams!$A:$A,0))</f>
        <v>Chennai Super Kings</v>
      </c>
      <c r="R517" t="str">
        <f>INDEX(Teams!$B:$B,MATCH(G517,Teams!$A:$A,0))</f>
        <v>Chennai Super Kings</v>
      </c>
      <c r="S517" t="str">
        <f>IF(K517="","No result",INDEX(Teams!$B:$B,MATCH(K517,Teams!$A:$A,0)))</f>
        <v>Chennai Super Kings</v>
      </c>
      <c r="T517" t="str">
        <f>INDEX(Venues!$B:$B,MATCH(O517,Venues!$A:$A,0))</f>
        <v>JSCA International Stadium Complex</v>
      </c>
      <c r="U517" t="str">
        <f>INDEX(Venues!$C:$C,MATCH(O517,Venues!$A:$A,0))</f>
        <v>Ranchi</v>
      </c>
      <c r="V517" t="str">
        <f>IF(L517&gt;0,L517&amp;" runs",IF(M517&gt;0,M517&amp;" wickets","-"))</f>
        <v>3 wickets</v>
      </c>
      <c r="W517">
        <f>IF(G517=K517,1,0)</f>
        <v>1</v>
      </c>
      <c r="X517">
        <f>IF(L517&gt;0,L517,"")</f>
        <v/>
      </c>
      <c r="Y517">
        <f>IF(X517="","",IF(X517&gt;Stats!$B$15,"Outlier",""))</f>
        <v/>
      </c>
      <c r="Z517" t="str">
        <f>P517&amp;" vs "&amp;Q517</f>
        <v>Royal Challengers Bangalore vs Chennai Super Kings</v>
      </c>
    </row>
    <row r="518" spans="1:26" x14ac:dyDescent="0.25">
      <c r="A518">
        <v>576</v>
      </c>
      <c r="B518">
        <v>2015</v>
      </c>
      <c r="C518" s="5">
        <v>42148</v>
      </c>
      <c r="D518" t="s">
        <v>216</v>
      </c>
      <c r="E518" t="s">
        <v>35</v>
      </c>
      <c r="F518" t="s">
        <v>12</v>
      </c>
      <c r="G518" t="s">
        <v>12</v>
      </c>
      <c r="H518" t="s">
        <v>173</v>
      </c>
      <c r="I518" t="s">
        <v>174</v>
      </c>
      <c r="J518">
        <v>0</v>
      </c>
      <c r="K518" t="s">
        <v>35</v>
      </c>
      <c r="L518">
        <v>41</v>
      </c>
      <c r="M518">
        <v>0</v>
      </c>
      <c r="N518" t="s">
        <v>235</v>
      </c>
      <c r="O518" t="s">
        <v>73</v>
      </c>
      <c r="P518" t="str">
        <f>INDEX(Teams!$B:$B,MATCH(E518,Teams!$A:$A,0))</f>
        <v>Mumbai Indians</v>
      </c>
      <c r="Q518" t="str">
        <f>INDEX(Teams!$B:$B,MATCH(F518,Teams!$A:$A,0))</f>
        <v>Chennai Super Kings</v>
      </c>
      <c r="R518" t="str">
        <f>INDEX(Teams!$B:$B,MATCH(G518,Teams!$A:$A,0))</f>
        <v>Chennai Super Kings</v>
      </c>
      <c r="S518" t="str">
        <f>IF(K518="","No result",INDEX(Teams!$B:$B,MATCH(K518,Teams!$A:$A,0)))</f>
        <v>Mumbai Indians</v>
      </c>
      <c r="T518" t="str">
        <f>INDEX(Venues!$B:$B,MATCH(O518,Venues!$A:$A,0))</f>
        <v>Eden Gardens</v>
      </c>
      <c r="U518" t="str">
        <f>INDEX(Venues!$C:$C,MATCH(O518,Venues!$A:$A,0))</f>
        <v>Kolkata</v>
      </c>
      <c r="V518" t="str">
        <f>IF(L518&gt;0,L518&amp;" runs",IF(M518&gt;0,M518&amp;" wickets","-"))</f>
        <v>41 runs</v>
      </c>
      <c r="W518">
        <f>IF(G518=K518,1,0)</f>
        <v>0</v>
      </c>
      <c r="X518">
        <f>IF(L518&gt;0,L518,"")</f>
        <v>41</v>
      </c>
      <c r="Y518">
        <f>IF(X518="","",IF(X518&gt;Stats!$B$15,"Outlier",""))</f>
        <v/>
      </c>
      <c r="Z518" t="str">
        <f>P518&amp;" vs "&amp;Q518</f>
        <v>Mumbai Indians vs Chennai Super Kings</v>
      </c>
    </row>
    <row r="519" spans="1:26" x14ac:dyDescent="0.25">
      <c r="A519">
        <v>577</v>
      </c>
      <c r="B519">
        <v>2016</v>
      </c>
      <c r="C519" s="5">
        <v>42469</v>
      </c>
      <c r="D519" t="s">
        <v>172</v>
      </c>
      <c r="E519" t="s">
        <v>35</v>
      </c>
      <c r="F519" t="s">
        <v>44</v>
      </c>
      <c r="G519" t="s">
        <v>35</v>
      </c>
      <c r="H519" t="s">
        <v>176</v>
      </c>
      <c r="I519" t="s">
        <v>174</v>
      </c>
      <c r="J519">
        <v>0</v>
      </c>
      <c r="K519" t="s">
        <v>44</v>
      </c>
      <c r="L519">
        <v>0</v>
      </c>
      <c r="M519">
        <v>9</v>
      </c>
      <c r="N519" t="s">
        <v>298</v>
      </c>
      <c r="O519" t="s">
        <v>138</v>
      </c>
      <c r="P519" t="str">
        <f>INDEX(Teams!$B:$B,MATCH(E519,Teams!$A:$A,0))</f>
        <v>Mumbai Indians</v>
      </c>
      <c r="Q519" t="str">
        <f>INDEX(Teams!$B:$B,MATCH(F519,Teams!$A:$A,0))</f>
        <v>Rising Pune Supergiant</v>
      </c>
      <c r="R519" t="str">
        <f>INDEX(Teams!$B:$B,MATCH(G519,Teams!$A:$A,0))</f>
        <v>Mumbai Indians</v>
      </c>
      <c r="S519" t="str">
        <f>IF(K519="","No result",INDEX(Teams!$B:$B,MATCH(K519,Teams!$A:$A,0)))</f>
        <v>Rising Pune Supergiant</v>
      </c>
      <c r="T519" t="str">
        <f>INDEX(Venues!$B:$B,MATCH(O519,Venues!$A:$A,0))</f>
        <v>Wankhede Stadium</v>
      </c>
      <c r="U519" t="str">
        <f>INDEX(Venues!$C:$C,MATCH(O519,Venues!$A:$A,0))</f>
        <v>Mumbai</v>
      </c>
      <c r="V519" t="str">
        <f>IF(L519&gt;0,L519&amp;" runs",IF(M519&gt;0,M519&amp;" wickets","-"))</f>
        <v>9 wickets</v>
      </c>
      <c r="W519">
        <f>IF(G519=K519,1,0)</f>
        <v>0</v>
      </c>
      <c r="X519">
        <f>IF(L519&gt;0,L519,"")</f>
        <v/>
      </c>
      <c r="Y519">
        <f>IF(X519="","",IF(X519&gt;Stats!$B$15,"Outlier",""))</f>
        <v/>
      </c>
      <c r="Z519" t="str">
        <f>P519&amp;" vs "&amp;Q519</f>
        <v>Mumbai Indians vs Rising Pune Supergiant</v>
      </c>
    </row>
    <row r="520" spans="1:26" x14ac:dyDescent="0.25">
      <c r="A520">
        <v>578</v>
      </c>
      <c r="B520">
        <v>2016</v>
      </c>
      <c r="C520" s="5">
        <v>42470</v>
      </c>
      <c r="D520" t="s">
        <v>172</v>
      </c>
      <c r="E520" t="s">
        <v>20</v>
      </c>
      <c r="F520" t="s">
        <v>32</v>
      </c>
      <c r="G520" t="s">
        <v>32</v>
      </c>
      <c r="H520" t="s">
        <v>173</v>
      </c>
      <c r="I520" t="s">
        <v>174</v>
      </c>
      <c r="J520">
        <v>0</v>
      </c>
      <c r="K520" t="s">
        <v>32</v>
      </c>
      <c r="L520">
        <v>0</v>
      </c>
      <c r="M520">
        <v>9</v>
      </c>
      <c r="N520" t="s">
        <v>344</v>
      </c>
      <c r="O520" t="s">
        <v>73</v>
      </c>
      <c r="P520" t="str">
        <f>INDEX(Teams!$B:$B,MATCH(E520,Teams!$A:$A,0))</f>
        <v>Delhi Capitals</v>
      </c>
      <c r="Q520" t="str">
        <f>INDEX(Teams!$B:$B,MATCH(F520,Teams!$A:$A,0))</f>
        <v>Kolkata Knight Riders</v>
      </c>
      <c r="R520" t="str">
        <f>INDEX(Teams!$B:$B,MATCH(G520,Teams!$A:$A,0))</f>
        <v>Kolkata Knight Riders</v>
      </c>
      <c r="S520" t="str">
        <f>IF(K520="","No result",INDEX(Teams!$B:$B,MATCH(K520,Teams!$A:$A,0)))</f>
        <v>Kolkata Knight Riders</v>
      </c>
      <c r="T520" t="str">
        <f>INDEX(Venues!$B:$B,MATCH(O520,Venues!$A:$A,0))</f>
        <v>Eden Gardens</v>
      </c>
      <c r="U520" t="str">
        <f>INDEX(Venues!$C:$C,MATCH(O520,Venues!$A:$A,0))</f>
        <v>Kolkata</v>
      </c>
      <c r="V520" t="str">
        <f>IF(L520&gt;0,L520&amp;" runs",IF(M520&gt;0,M520&amp;" wickets","-"))</f>
        <v>9 wickets</v>
      </c>
      <c r="W520">
        <f>IF(G520=K520,1,0)</f>
        <v>1</v>
      </c>
      <c r="X520">
        <f>IF(L520&gt;0,L520,"")</f>
        <v/>
      </c>
      <c r="Y520">
        <f>IF(X520="","",IF(X520&gt;Stats!$B$15,"Outlier",""))</f>
        <v/>
      </c>
      <c r="Z520" t="str">
        <f>P520&amp;" vs "&amp;Q520</f>
        <v>Delhi Capitals vs Kolkata Knight Riders</v>
      </c>
    </row>
    <row r="521" spans="1:26" x14ac:dyDescent="0.25">
      <c r="A521">
        <v>579</v>
      </c>
      <c r="B521">
        <v>2016</v>
      </c>
      <c r="C521" s="5">
        <v>42471</v>
      </c>
      <c r="D521" t="s">
        <v>172</v>
      </c>
      <c r="E521" t="s">
        <v>26</v>
      </c>
      <c r="F521" t="s">
        <v>23</v>
      </c>
      <c r="G521" t="s">
        <v>23</v>
      </c>
      <c r="H521" t="s">
        <v>173</v>
      </c>
      <c r="I521" t="s">
        <v>174</v>
      </c>
      <c r="J521">
        <v>0</v>
      </c>
      <c r="K521" t="s">
        <v>23</v>
      </c>
      <c r="L521">
        <v>0</v>
      </c>
      <c r="M521">
        <v>5</v>
      </c>
      <c r="N521" t="s">
        <v>319</v>
      </c>
      <c r="O521" t="s">
        <v>109</v>
      </c>
      <c r="P521" t="str">
        <f>INDEX(Teams!$B:$B,MATCH(E521,Teams!$A:$A,0))</f>
        <v>Kings XI Punjab</v>
      </c>
      <c r="Q521" t="str">
        <f>INDEX(Teams!$B:$B,MATCH(F521,Teams!$A:$A,0))</f>
        <v>Gujarat Lions</v>
      </c>
      <c r="R521" t="str">
        <f>INDEX(Teams!$B:$B,MATCH(G521,Teams!$A:$A,0))</f>
        <v>Gujarat Lions</v>
      </c>
      <c r="S521" t="str">
        <f>IF(K521="","No result",INDEX(Teams!$B:$B,MATCH(K521,Teams!$A:$A,0)))</f>
        <v>Gujarat Lions</v>
      </c>
      <c r="T521" t="str">
        <f>INDEX(Venues!$B:$B,MATCH(O521,Venues!$A:$A,0))</f>
        <v>Punjab Cricket Association IS Bindra Stadium</v>
      </c>
      <c r="U521" t="str">
        <f>INDEX(Venues!$C:$C,MATCH(O521,Venues!$A:$A,0))</f>
        <v>Chandigarh</v>
      </c>
      <c r="V521" t="str">
        <f>IF(L521&gt;0,L521&amp;" runs",IF(M521&gt;0,M521&amp;" wickets","-"))</f>
        <v>5 wickets</v>
      </c>
      <c r="W521">
        <f>IF(G521=K521,1,0)</f>
        <v>1</v>
      </c>
      <c r="X521">
        <f>IF(L521&gt;0,L521,"")</f>
        <v/>
      </c>
      <c r="Y521">
        <f>IF(X521="","",IF(X521&gt;Stats!$B$15,"Outlier",""))</f>
        <v/>
      </c>
      <c r="Z521" t="str">
        <f>P521&amp;" vs "&amp;Q521</f>
        <v>Kings XI Punjab vs Gujarat Lions</v>
      </c>
    </row>
    <row r="522" spans="1:26" x14ac:dyDescent="0.25">
      <c r="A522">
        <v>580</v>
      </c>
      <c r="B522">
        <v>2016</v>
      </c>
      <c r="C522" s="5">
        <v>42472</v>
      </c>
      <c r="D522" t="s">
        <v>172</v>
      </c>
      <c r="E522" t="s">
        <v>46</v>
      </c>
      <c r="F522" t="s">
        <v>49</v>
      </c>
      <c r="G522" t="s">
        <v>49</v>
      </c>
      <c r="H522" t="s">
        <v>173</v>
      </c>
      <c r="I522" t="s">
        <v>174</v>
      </c>
      <c r="J522">
        <v>0</v>
      </c>
      <c r="K522" t="s">
        <v>46</v>
      </c>
      <c r="L522">
        <v>45</v>
      </c>
      <c r="M522">
        <v>0</v>
      </c>
      <c r="N522" t="s">
        <v>223</v>
      </c>
      <c r="O522" t="s">
        <v>92</v>
      </c>
      <c r="P522" t="str">
        <f>INDEX(Teams!$B:$B,MATCH(E522,Teams!$A:$A,0))</f>
        <v>Royal Challengers Bangalore</v>
      </c>
      <c r="Q522" t="str">
        <f>INDEX(Teams!$B:$B,MATCH(F522,Teams!$A:$A,0))</f>
        <v>Sunrisers Hyderabad</v>
      </c>
      <c r="R522" t="str">
        <f>INDEX(Teams!$B:$B,MATCH(G522,Teams!$A:$A,0))</f>
        <v>Sunrisers Hyderabad</v>
      </c>
      <c r="S522" t="str">
        <f>IF(K522="","No result",INDEX(Teams!$B:$B,MATCH(K522,Teams!$A:$A,0)))</f>
        <v>Royal Challengers Bangalore</v>
      </c>
      <c r="T522" t="str">
        <f>INDEX(Venues!$B:$B,MATCH(O522,Venues!$A:$A,0))</f>
        <v>M Chinnaswamy Stadium</v>
      </c>
      <c r="U522" t="str">
        <f>INDEX(Venues!$C:$C,MATCH(O522,Venues!$A:$A,0))</f>
        <v>Bangalore</v>
      </c>
      <c r="V522" t="str">
        <f>IF(L522&gt;0,L522&amp;" runs",IF(M522&gt;0,M522&amp;" wickets","-"))</f>
        <v>45 runs</v>
      </c>
      <c r="W522">
        <f>IF(G522=K522,1,0)</f>
        <v>0</v>
      </c>
      <c r="X522">
        <f>IF(L522&gt;0,L522,"")</f>
        <v>45</v>
      </c>
      <c r="Y522">
        <f>IF(X522="","",IF(X522&gt;Stats!$B$15,"Outlier",""))</f>
        <v/>
      </c>
      <c r="Z522" t="str">
        <f>P522&amp;" vs "&amp;Q522</f>
        <v>Royal Challengers Bangalore vs Sunrisers Hyderabad</v>
      </c>
    </row>
    <row r="523" spans="1:26" x14ac:dyDescent="0.25">
      <c r="A523">
        <v>581</v>
      </c>
      <c r="B523">
        <v>2016</v>
      </c>
      <c r="C523" s="5">
        <v>42473</v>
      </c>
      <c r="D523" t="s">
        <v>172</v>
      </c>
      <c r="E523" t="s">
        <v>32</v>
      </c>
      <c r="F523" t="s">
        <v>35</v>
      </c>
      <c r="G523" t="s">
        <v>35</v>
      </c>
      <c r="H523" t="s">
        <v>173</v>
      </c>
      <c r="I523" t="s">
        <v>174</v>
      </c>
      <c r="J523">
        <v>0</v>
      </c>
      <c r="K523" t="s">
        <v>35</v>
      </c>
      <c r="L523">
        <v>0</v>
      </c>
      <c r="M523">
        <v>6</v>
      </c>
      <c r="N523" t="s">
        <v>235</v>
      </c>
      <c r="O523" t="s">
        <v>73</v>
      </c>
      <c r="P523" t="str">
        <f>INDEX(Teams!$B:$B,MATCH(E523,Teams!$A:$A,0))</f>
        <v>Kolkata Knight Riders</v>
      </c>
      <c r="Q523" t="str">
        <f>INDEX(Teams!$B:$B,MATCH(F523,Teams!$A:$A,0))</f>
        <v>Mumbai Indians</v>
      </c>
      <c r="R523" t="str">
        <f>INDEX(Teams!$B:$B,MATCH(G523,Teams!$A:$A,0))</f>
        <v>Mumbai Indians</v>
      </c>
      <c r="S523" t="str">
        <f>IF(K523="","No result",INDEX(Teams!$B:$B,MATCH(K523,Teams!$A:$A,0)))</f>
        <v>Mumbai Indians</v>
      </c>
      <c r="T523" t="str">
        <f>INDEX(Venues!$B:$B,MATCH(O523,Venues!$A:$A,0))</f>
        <v>Eden Gardens</v>
      </c>
      <c r="U523" t="str">
        <f>INDEX(Venues!$C:$C,MATCH(O523,Venues!$A:$A,0))</f>
        <v>Kolkata</v>
      </c>
      <c r="V523" t="str">
        <f>IF(L523&gt;0,L523&amp;" runs",IF(M523&gt;0,M523&amp;" wickets","-"))</f>
        <v>6 wickets</v>
      </c>
      <c r="W523">
        <f>IF(G523=K523,1,0)</f>
        <v>1</v>
      </c>
      <c r="X523">
        <f>IF(L523&gt;0,L523,"")</f>
        <v/>
      </c>
      <c r="Y523">
        <f>IF(X523="","",IF(X523&gt;Stats!$B$15,"Outlier",""))</f>
        <v/>
      </c>
      <c r="Z523" t="str">
        <f>P523&amp;" vs "&amp;Q523</f>
        <v>Kolkata Knight Riders vs Mumbai Indians</v>
      </c>
    </row>
    <row r="524" spans="1:26" x14ac:dyDescent="0.25">
      <c r="A524">
        <v>582</v>
      </c>
      <c r="B524">
        <v>2016</v>
      </c>
      <c r="C524" s="5">
        <v>42474</v>
      </c>
      <c r="D524" t="s">
        <v>172</v>
      </c>
      <c r="E524" t="s">
        <v>44</v>
      </c>
      <c r="F524" t="s">
        <v>23</v>
      </c>
      <c r="G524" t="s">
        <v>44</v>
      </c>
      <c r="H524" t="s">
        <v>176</v>
      </c>
      <c r="I524" t="s">
        <v>174</v>
      </c>
      <c r="J524">
        <v>0</v>
      </c>
      <c r="K524" t="s">
        <v>23</v>
      </c>
      <c r="L524">
        <v>0</v>
      </c>
      <c r="M524">
        <v>7</v>
      </c>
      <c r="N524" t="s">
        <v>319</v>
      </c>
      <c r="O524" t="s">
        <v>116</v>
      </c>
      <c r="P524" t="str">
        <f>INDEX(Teams!$B:$B,MATCH(E524,Teams!$A:$A,0))</f>
        <v>Rising Pune Supergiant</v>
      </c>
      <c r="Q524" t="str">
        <f>INDEX(Teams!$B:$B,MATCH(F524,Teams!$A:$A,0))</f>
        <v>Gujarat Lions</v>
      </c>
      <c r="R524" t="str">
        <f>INDEX(Teams!$B:$B,MATCH(G524,Teams!$A:$A,0))</f>
        <v>Rising Pune Supergiant</v>
      </c>
      <c r="S524" t="str">
        <f>IF(K524="","No result",INDEX(Teams!$B:$B,MATCH(K524,Teams!$A:$A,0)))</f>
        <v>Gujarat Lions</v>
      </c>
      <c r="T524" t="str">
        <f>INDEX(Venues!$B:$B,MATCH(O524,Venues!$A:$A,0))</f>
        <v>Saurashtra Cricket Association Stadium</v>
      </c>
      <c r="U524" t="str">
        <f>INDEX(Venues!$C:$C,MATCH(O524,Venues!$A:$A,0))</f>
        <v>Rajkot</v>
      </c>
      <c r="V524" t="str">
        <f>IF(L524&gt;0,L524&amp;" runs",IF(M524&gt;0,M524&amp;" wickets","-"))</f>
        <v>7 wickets</v>
      </c>
      <c r="W524">
        <f>IF(G524=K524,1,0)</f>
        <v>0</v>
      </c>
      <c r="X524">
        <f>IF(L524&gt;0,L524,"")</f>
        <v/>
      </c>
      <c r="Y524">
        <f>IF(X524="","",IF(X524&gt;Stats!$B$15,"Outlier",""))</f>
        <v/>
      </c>
      <c r="Z524" t="str">
        <f>P524&amp;" vs "&amp;Q524</f>
        <v>Rising Pune Supergiant vs Gujarat Lions</v>
      </c>
    </row>
    <row r="525" spans="1:26" x14ac:dyDescent="0.25">
      <c r="A525">
        <v>583</v>
      </c>
      <c r="B525">
        <v>2016</v>
      </c>
      <c r="C525" s="5">
        <v>42475</v>
      </c>
      <c r="D525" t="s">
        <v>172</v>
      </c>
      <c r="E525" t="s">
        <v>26</v>
      </c>
      <c r="F525" t="s">
        <v>20</v>
      </c>
      <c r="G525" t="s">
        <v>20</v>
      </c>
      <c r="H525" t="s">
        <v>173</v>
      </c>
      <c r="I525" t="s">
        <v>174</v>
      </c>
      <c r="J525">
        <v>0</v>
      </c>
      <c r="K525" t="s">
        <v>20</v>
      </c>
      <c r="L525">
        <v>0</v>
      </c>
      <c r="M525">
        <v>8</v>
      </c>
      <c r="N525" t="s">
        <v>203</v>
      </c>
      <c r="O525" t="s">
        <v>75</v>
      </c>
      <c r="P525" t="str">
        <f>INDEX(Teams!$B:$B,MATCH(E525,Teams!$A:$A,0))</f>
        <v>Kings XI Punjab</v>
      </c>
      <c r="Q525" t="str">
        <f>INDEX(Teams!$B:$B,MATCH(F525,Teams!$A:$A,0))</f>
        <v>Delhi Capitals</v>
      </c>
      <c r="R525" t="str">
        <f>INDEX(Teams!$B:$B,MATCH(G525,Teams!$A:$A,0))</f>
        <v>Delhi Capitals</v>
      </c>
      <c r="S525" t="str">
        <f>IF(K525="","No result",INDEX(Teams!$B:$B,MATCH(K525,Teams!$A:$A,0)))</f>
        <v>Delhi Capitals</v>
      </c>
      <c r="T525" t="str">
        <f>INDEX(Venues!$B:$B,MATCH(O525,Venues!$A:$A,0))</f>
        <v>Feroz Shah Kotla</v>
      </c>
      <c r="U525" t="str">
        <f>INDEX(Venues!$C:$C,MATCH(O525,Venues!$A:$A,0))</f>
        <v>Delhi</v>
      </c>
      <c r="V525" t="str">
        <f>IF(L525&gt;0,L525&amp;" runs",IF(M525&gt;0,M525&amp;" wickets","-"))</f>
        <v>8 wickets</v>
      </c>
      <c r="W525">
        <f>IF(G525=K525,1,0)</f>
        <v>1</v>
      </c>
      <c r="X525">
        <f>IF(L525&gt;0,L525,"")</f>
        <v/>
      </c>
      <c r="Y525">
        <f>IF(X525="","",IF(X525&gt;Stats!$B$15,"Outlier",""))</f>
        <v/>
      </c>
      <c r="Z525" t="str">
        <f>P525&amp;" vs "&amp;Q525</f>
        <v>Kings XI Punjab vs Delhi Capitals</v>
      </c>
    </row>
    <row r="526" spans="1:26" x14ac:dyDescent="0.25">
      <c r="A526">
        <v>584</v>
      </c>
      <c r="B526">
        <v>2016</v>
      </c>
      <c r="C526" s="5">
        <v>42476</v>
      </c>
      <c r="D526" t="s">
        <v>172</v>
      </c>
      <c r="E526" t="s">
        <v>49</v>
      </c>
      <c r="F526" t="s">
        <v>32</v>
      </c>
      <c r="G526" t="s">
        <v>49</v>
      </c>
      <c r="H526" t="s">
        <v>176</v>
      </c>
      <c r="I526" t="s">
        <v>174</v>
      </c>
      <c r="J526">
        <v>0</v>
      </c>
      <c r="K526" t="s">
        <v>32</v>
      </c>
      <c r="L526">
        <v>0</v>
      </c>
      <c r="M526">
        <v>8</v>
      </c>
      <c r="N526" t="s">
        <v>234</v>
      </c>
      <c r="O526" t="s">
        <v>111</v>
      </c>
      <c r="P526" t="str">
        <f>INDEX(Teams!$B:$B,MATCH(E526,Teams!$A:$A,0))</f>
        <v>Sunrisers Hyderabad</v>
      </c>
      <c r="Q526" t="str">
        <f>INDEX(Teams!$B:$B,MATCH(F526,Teams!$A:$A,0))</f>
        <v>Kolkata Knight Riders</v>
      </c>
      <c r="R526" t="str">
        <f>INDEX(Teams!$B:$B,MATCH(G526,Teams!$A:$A,0))</f>
        <v>Sunrisers Hyderabad</v>
      </c>
      <c r="S526" t="str">
        <f>IF(K526="","No result",INDEX(Teams!$B:$B,MATCH(K526,Teams!$A:$A,0)))</f>
        <v>Kolkata Knight Riders</v>
      </c>
      <c r="T526" t="str">
        <f>INDEX(Venues!$B:$B,MATCH(O526,Venues!$A:$A,0))</f>
        <v>Rajiv Gandhi International Stadium</v>
      </c>
      <c r="U526" t="str">
        <f>INDEX(Venues!$C:$C,MATCH(O526,Venues!$A:$A,0))</f>
        <v>Hyderabad</v>
      </c>
      <c r="V526" t="str">
        <f>IF(L526&gt;0,L526&amp;" runs",IF(M526&gt;0,M526&amp;" wickets","-"))</f>
        <v>8 wickets</v>
      </c>
      <c r="W526">
        <f>IF(G526=K526,1,0)</f>
        <v>0</v>
      </c>
      <c r="X526">
        <f>IF(L526&gt;0,L526,"")</f>
        <v/>
      </c>
      <c r="Y526">
        <f>IF(X526="","",IF(X526&gt;Stats!$B$15,"Outlier",""))</f>
        <v/>
      </c>
      <c r="Z526" t="str">
        <f>P526&amp;" vs "&amp;Q526</f>
        <v>Sunrisers Hyderabad vs Kolkata Knight Riders</v>
      </c>
    </row>
    <row r="527" spans="1:26" x14ac:dyDescent="0.25">
      <c r="A527">
        <v>585</v>
      </c>
      <c r="B527">
        <v>2016</v>
      </c>
      <c r="C527" s="5">
        <v>42476</v>
      </c>
      <c r="D527" t="s">
        <v>172</v>
      </c>
      <c r="E527" t="s">
        <v>35</v>
      </c>
      <c r="F527" t="s">
        <v>23</v>
      </c>
      <c r="G527" t="s">
        <v>23</v>
      </c>
      <c r="H527" t="s">
        <v>173</v>
      </c>
      <c r="I527" t="s">
        <v>174</v>
      </c>
      <c r="J527">
        <v>0</v>
      </c>
      <c r="K527" t="s">
        <v>23</v>
      </c>
      <c r="L527">
        <v>0</v>
      </c>
      <c r="M527">
        <v>3</v>
      </c>
      <c r="N527" t="s">
        <v>319</v>
      </c>
      <c r="O527" t="s">
        <v>138</v>
      </c>
      <c r="P527" t="str">
        <f>INDEX(Teams!$B:$B,MATCH(E527,Teams!$A:$A,0))</f>
        <v>Mumbai Indians</v>
      </c>
      <c r="Q527" t="str">
        <f>INDEX(Teams!$B:$B,MATCH(F527,Teams!$A:$A,0))</f>
        <v>Gujarat Lions</v>
      </c>
      <c r="R527" t="str">
        <f>INDEX(Teams!$B:$B,MATCH(G527,Teams!$A:$A,0))</f>
        <v>Gujarat Lions</v>
      </c>
      <c r="S527" t="str">
        <f>IF(K527="","No result",INDEX(Teams!$B:$B,MATCH(K527,Teams!$A:$A,0)))</f>
        <v>Gujarat Lions</v>
      </c>
      <c r="T527" t="str">
        <f>INDEX(Venues!$B:$B,MATCH(O527,Venues!$A:$A,0))</f>
        <v>Wankhede Stadium</v>
      </c>
      <c r="U527" t="str">
        <f>INDEX(Venues!$C:$C,MATCH(O527,Venues!$A:$A,0))</f>
        <v>Mumbai</v>
      </c>
      <c r="V527" t="str">
        <f>IF(L527&gt;0,L527&amp;" runs",IF(M527&gt;0,M527&amp;" wickets","-"))</f>
        <v>3 wickets</v>
      </c>
      <c r="W527">
        <f>IF(G527=K527,1,0)</f>
        <v>1</v>
      </c>
      <c r="X527">
        <f>IF(L527&gt;0,L527,"")</f>
        <v/>
      </c>
      <c r="Y527">
        <f>IF(X527="","",IF(X527&gt;Stats!$B$15,"Outlier",""))</f>
        <v/>
      </c>
      <c r="Z527" t="str">
        <f>P527&amp;" vs "&amp;Q527</f>
        <v>Mumbai Indians vs Gujarat Lions</v>
      </c>
    </row>
    <row r="528" spans="1:26" x14ac:dyDescent="0.25">
      <c r="A528">
        <v>586</v>
      </c>
      <c r="B528">
        <v>2016</v>
      </c>
      <c r="C528" s="5">
        <v>42477</v>
      </c>
      <c r="D528" t="s">
        <v>172</v>
      </c>
      <c r="E528" t="s">
        <v>44</v>
      </c>
      <c r="F528" t="s">
        <v>26</v>
      </c>
      <c r="G528" t="s">
        <v>44</v>
      </c>
      <c r="H528" t="s">
        <v>176</v>
      </c>
      <c r="I528" t="s">
        <v>174</v>
      </c>
      <c r="J528">
        <v>0</v>
      </c>
      <c r="K528" t="s">
        <v>26</v>
      </c>
      <c r="L528">
        <v>0</v>
      </c>
      <c r="M528">
        <v>6</v>
      </c>
      <c r="N528" t="s">
        <v>317</v>
      </c>
      <c r="O528" t="s">
        <v>109</v>
      </c>
      <c r="P528" t="str">
        <f>INDEX(Teams!$B:$B,MATCH(E528,Teams!$A:$A,0))</f>
        <v>Rising Pune Supergiant</v>
      </c>
      <c r="Q528" t="str">
        <f>INDEX(Teams!$B:$B,MATCH(F528,Teams!$A:$A,0))</f>
        <v>Kings XI Punjab</v>
      </c>
      <c r="R528" t="str">
        <f>INDEX(Teams!$B:$B,MATCH(G528,Teams!$A:$A,0))</f>
        <v>Rising Pune Supergiant</v>
      </c>
      <c r="S528" t="str">
        <f>IF(K528="","No result",INDEX(Teams!$B:$B,MATCH(K528,Teams!$A:$A,0)))</f>
        <v>Kings XI Punjab</v>
      </c>
      <c r="T528" t="str">
        <f>INDEX(Venues!$B:$B,MATCH(O528,Venues!$A:$A,0))</f>
        <v>Punjab Cricket Association IS Bindra Stadium</v>
      </c>
      <c r="U528" t="str">
        <f>INDEX(Venues!$C:$C,MATCH(O528,Venues!$A:$A,0))</f>
        <v>Chandigarh</v>
      </c>
      <c r="V528" t="str">
        <f>IF(L528&gt;0,L528&amp;" runs",IF(M528&gt;0,M528&amp;" wickets","-"))</f>
        <v>6 wickets</v>
      </c>
      <c r="W528">
        <f>IF(G528=K528,1,0)</f>
        <v>0</v>
      </c>
      <c r="X528">
        <f>IF(L528&gt;0,L528,"")</f>
        <v/>
      </c>
      <c r="Y528">
        <f>IF(X528="","",IF(X528&gt;Stats!$B$15,"Outlier",""))</f>
        <v/>
      </c>
      <c r="Z528" t="str">
        <f>P528&amp;" vs "&amp;Q528</f>
        <v>Rising Pune Supergiant vs Kings XI Punjab</v>
      </c>
    </row>
    <row r="529" spans="1:26" x14ac:dyDescent="0.25">
      <c r="A529">
        <v>587</v>
      </c>
      <c r="B529">
        <v>2016</v>
      </c>
      <c r="C529" s="5">
        <v>42477</v>
      </c>
      <c r="D529" t="s">
        <v>172</v>
      </c>
      <c r="E529" t="s">
        <v>46</v>
      </c>
      <c r="F529" t="s">
        <v>20</v>
      </c>
      <c r="G529" t="s">
        <v>20</v>
      </c>
      <c r="H529" t="s">
        <v>173</v>
      </c>
      <c r="I529" t="s">
        <v>174</v>
      </c>
      <c r="J529">
        <v>0</v>
      </c>
      <c r="K529" t="s">
        <v>20</v>
      </c>
      <c r="L529">
        <v>0</v>
      </c>
      <c r="M529">
        <v>7</v>
      </c>
      <c r="N529" t="s">
        <v>355</v>
      </c>
      <c r="O529" t="s">
        <v>92</v>
      </c>
      <c r="P529" t="str">
        <f>INDEX(Teams!$B:$B,MATCH(E529,Teams!$A:$A,0))</f>
        <v>Royal Challengers Bangalore</v>
      </c>
      <c r="Q529" t="str">
        <f>INDEX(Teams!$B:$B,MATCH(F529,Teams!$A:$A,0))</f>
        <v>Delhi Capitals</v>
      </c>
      <c r="R529" t="str">
        <f>INDEX(Teams!$B:$B,MATCH(G529,Teams!$A:$A,0))</f>
        <v>Delhi Capitals</v>
      </c>
      <c r="S529" t="str">
        <f>IF(K529="","No result",INDEX(Teams!$B:$B,MATCH(K529,Teams!$A:$A,0)))</f>
        <v>Delhi Capitals</v>
      </c>
      <c r="T529" t="str">
        <f>INDEX(Venues!$B:$B,MATCH(O529,Venues!$A:$A,0))</f>
        <v>M Chinnaswamy Stadium</v>
      </c>
      <c r="U529" t="str">
        <f>INDEX(Venues!$C:$C,MATCH(O529,Venues!$A:$A,0))</f>
        <v>Bangalore</v>
      </c>
      <c r="V529" t="str">
        <f>IF(L529&gt;0,L529&amp;" runs",IF(M529&gt;0,M529&amp;" wickets","-"))</f>
        <v>7 wickets</v>
      </c>
      <c r="W529">
        <f>IF(G529=K529,1,0)</f>
        <v>1</v>
      </c>
      <c r="X529">
        <f>IF(L529&gt;0,L529,"")</f>
        <v/>
      </c>
      <c r="Y529">
        <f>IF(X529="","",IF(X529&gt;Stats!$B$15,"Outlier",""))</f>
        <v/>
      </c>
      <c r="Z529" t="str">
        <f>P529&amp;" vs "&amp;Q529</f>
        <v>Royal Challengers Bangalore vs Delhi Capitals</v>
      </c>
    </row>
    <row r="530" spans="1:26" x14ac:dyDescent="0.25">
      <c r="A530">
        <v>588</v>
      </c>
      <c r="B530">
        <v>2016</v>
      </c>
      <c r="C530" s="5">
        <v>42478</v>
      </c>
      <c r="D530" t="s">
        <v>172</v>
      </c>
      <c r="E530" t="s">
        <v>35</v>
      </c>
      <c r="F530" t="s">
        <v>49</v>
      </c>
      <c r="G530" t="s">
        <v>49</v>
      </c>
      <c r="H530" t="s">
        <v>173</v>
      </c>
      <c r="I530" t="s">
        <v>174</v>
      </c>
      <c r="J530">
        <v>0</v>
      </c>
      <c r="K530" t="s">
        <v>49</v>
      </c>
      <c r="L530">
        <v>0</v>
      </c>
      <c r="M530">
        <v>7</v>
      </c>
      <c r="N530" t="s">
        <v>257</v>
      </c>
      <c r="O530" t="s">
        <v>111</v>
      </c>
      <c r="P530" t="str">
        <f>INDEX(Teams!$B:$B,MATCH(E530,Teams!$A:$A,0))</f>
        <v>Mumbai Indians</v>
      </c>
      <c r="Q530" t="str">
        <f>INDEX(Teams!$B:$B,MATCH(F530,Teams!$A:$A,0))</f>
        <v>Sunrisers Hyderabad</v>
      </c>
      <c r="R530" t="str">
        <f>INDEX(Teams!$B:$B,MATCH(G530,Teams!$A:$A,0))</f>
        <v>Sunrisers Hyderabad</v>
      </c>
      <c r="S530" t="str">
        <f>IF(K530="","No result",INDEX(Teams!$B:$B,MATCH(K530,Teams!$A:$A,0)))</f>
        <v>Sunrisers Hyderabad</v>
      </c>
      <c r="T530" t="str">
        <f>INDEX(Venues!$B:$B,MATCH(O530,Venues!$A:$A,0))</f>
        <v>Rajiv Gandhi International Stadium</v>
      </c>
      <c r="U530" t="str">
        <f>INDEX(Venues!$C:$C,MATCH(O530,Venues!$A:$A,0))</f>
        <v>Hyderabad</v>
      </c>
      <c r="V530" t="str">
        <f>IF(L530&gt;0,L530&amp;" runs",IF(M530&gt;0,M530&amp;" wickets","-"))</f>
        <v>7 wickets</v>
      </c>
      <c r="W530">
        <f>IF(G530=K530,1,0)</f>
        <v>1</v>
      </c>
      <c r="X530">
        <f>IF(L530&gt;0,L530,"")</f>
        <v/>
      </c>
      <c r="Y530">
        <f>IF(X530="","",IF(X530&gt;Stats!$B$15,"Outlier",""))</f>
        <v/>
      </c>
      <c r="Z530" t="str">
        <f>P530&amp;" vs "&amp;Q530</f>
        <v>Mumbai Indians vs Sunrisers Hyderabad</v>
      </c>
    </row>
    <row r="531" spans="1:26" x14ac:dyDescent="0.25">
      <c r="A531">
        <v>589</v>
      </c>
      <c r="B531">
        <v>2016</v>
      </c>
      <c r="C531" s="5">
        <v>42479</v>
      </c>
      <c r="D531" t="s">
        <v>172</v>
      </c>
      <c r="E531" t="s">
        <v>26</v>
      </c>
      <c r="F531" t="s">
        <v>32</v>
      </c>
      <c r="G531" t="s">
        <v>32</v>
      </c>
      <c r="H531" t="s">
        <v>173</v>
      </c>
      <c r="I531" t="s">
        <v>174</v>
      </c>
      <c r="J531">
        <v>0</v>
      </c>
      <c r="K531" t="s">
        <v>32</v>
      </c>
      <c r="L531">
        <v>0</v>
      </c>
      <c r="M531">
        <v>6</v>
      </c>
      <c r="N531" t="s">
        <v>253</v>
      </c>
      <c r="O531" t="s">
        <v>109</v>
      </c>
      <c r="P531" t="str">
        <f>INDEX(Teams!$B:$B,MATCH(E531,Teams!$A:$A,0))</f>
        <v>Kings XI Punjab</v>
      </c>
      <c r="Q531" t="str">
        <f>INDEX(Teams!$B:$B,MATCH(F531,Teams!$A:$A,0))</f>
        <v>Kolkata Knight Riders</v>
      </c>
      <c r="R531" t="str">
        <f>INDEX(Teams!$B:$B,MATCH(G531,Teams!$A:$A,0))</f>
        <v>Kolkata Knight Riders</v>
      </c>
      <c r="S531" t="str">
        <f>IF(K531="","No result",INDEX(Teams!$B:$B,MATCH(K531,Teams!$A:$A,0)))</f>
        <v>Kolkata Knight Riders</v>
      </c>
      <c r="T531" t="str">
        <f>INDEX(Venues!$B:$B,MATCH(O531,Venues!$A:$A,0))</f>
        <v>Punjab Cricket Association IS Bindra Stadium</v>
      </c>
      <c r="U531" t="str">
        <f>INDEX(Venues!$C:$C,MATCH(O531,Venues!$A:$A,0))</f>
        <v>Chandigarh</v>
      </c>
      <c r="V531" t="str">
        <f>IF(L531&gt;0,L531&amp;" runs",IF(M531&gt;0,M531&amp;" wickets","-"))</f>
        <v>6 wickets</v>
      </c>
      <c r="W531">
        <f>IF(G531=K531,1,0)</f>
        <v>1</v>
      </c>
      <c r="X531">
        <f>IF(L531&gt;0,L531,"")</f>
        <v/>
      </c>
      <c r="Y531">
        <f>IF(X531="","",IF(X531&gt;Stats!$B$15,"Outlier",""))</f>
        <v/>
      </c>
      <c r="Z531" t="str">
        <f>P531&amp;" vs "&amp;Q531</f>
        <v>Kings XI Punjab vs Kolkata Knight Riders</v>
      </c>
    </row>
    <row r="532" spans="1:26" x14ac:dyDescent="0.25">
      <c r="A532">
        <v>590</v>
      </c>
      <c r="B532">
        <v>2016</v>
      </c>
      <c r="C532" s="5">
        <v>42480</v>
      </c>
      <c r="D532" t="s">
        <v>172</v>
      </c>
      <c r="E532" t="s">
        <v>46</v>
      </c>
      <c r="F532" t="s">
        <v>35</v>
      </c>
      <c r="G532" t="s">
        <v>35</v>
      </c>
      <c r="H532" t="s">
        <v>173</v>
      </c>
      <c r="I532" t="s">
        <v>174</v>
      </c>
      <c r="J532">
        <v>0</v>
      </c>
      <c r="K532" t="s">
        <v>35</v>
      </c>
      <c r="L532">
        <v>0</v>
      </c>
      <c r="M532">
        <v>6</v>
      </c>
      <c r="N532" t="s">
        <v>235</v>
      </c>
      <c r="O532" t="s">
        <v>138</v>
      </c>
      <c r="P532" t="str">
        <f>INDEX(Teams!$B:$B,MATCH(E532,Teams!$A:$A,0))</f>
        <v>Royal Challengers Bangalore</v>
      </c>
      <c r="Q532" t="str">
        <f>INDEX(Teams!$B:$B,MATCH(F532,Teams!$A:$A,0))</f>
        <v>Mumbai Indians</v>
      </c>
      <c r="R532" t="str">
        <f>INDEX(Teams!$B:$B,MATCH(G532,Teams!$A:$A,0))</f>
        <v>Mumbai Indians</v>
      </c>
      <c r="S532" t="str">
        <f>IF(K532="","No result",INDEX(Teams!$B:$B,MATCH(K532,Teams!$A:$A,0)))</f>
        <v>Mumbai Indians</v>
      </c>
      <c r="T532" t="str">
        <f>INDEX(Venues!$B:$B,MATCH(O532,Venues!$A:$A,0))</f>
        <v>Wankhede Stadium</v>
      </c>
      <c r="U532" t="str">
        <f>INDEX(Venues!$C:$C,MATCH(O532,Venues!$A:$A,0))</f>
        <v>Mumbai</v>
      </c>
      <c r="V532" t="str">
        <f>IF(L532&gt;0,L532&amp;" runs",IF(M532&gt;0,M532&amp;" wickets","-"))</f>
        <v>6 wickets</v>
      </c>
      <c r="W532">
        <f>IF(G532=K532,1,0)</f>
        <v>1</v>
      </c>
      <c r="X532">
        <f>IF(L532&gt;0,L532,"")</f>
        <v/>
      </c>
      <c r="Y532">
        <f>IF(X532="","",IF(X532&gt;Stats!$B$15,"Outlier",""))</f>
        <v/>
      </c>
      <c r="Z532" t="str">
        <f>P532&amp;" vs "&amp;Q532</f>
        <v>Royal Challengers Bangalore vs Mumbai Indians</v>
      </c>
    </row>
    <row r="533" spans="1:26" x14ac:dyDescent="0.25">
      <c r="A533">
        <v>591</v>
      </c>
      <c r="B533">
        <v>2016</v>
      </c>
      <c r="C533" s="5">
        <v>42481</v>
      </c>
      <c r="D533" t="s">
        <v>172</v>
      </c>
      <c r="E533" t="s">
        <v>23</v>
      </c>
      <c r="F533" t="s">
        <v>49</v>
      </c>
      <c r="G533" t="s">
        <v>49</v>
      </c>
      <c r="H533" t="s">
        <v>173</v>
      </c>
      <c r="I533" t="s">
        <v>174</v>
      </c>
      <c r="J533">
        <v>0</v>
      </c>
      <c r="K533" t="s">
        <v>49</v>
      </c>
      <c r="L533">
        <v>0</v>
      </c>
      <c r="M533">
        <v>10</v>
      </c>
      <c r="N533" t="s">
        <v>336</v>
      </c>
      <c r="O533" t="s">
        <v>116</v>
      </c>
      <c r="P533" t="str">
        <f>INDEX(Teams!$B:$B,MATCH(E533,Teams!$A:$A,0))</f>
        <v>Gujarat Lions</v>
      </c>
      <c r="Q533" t="str">
        <f>INDEX(Teams!$B:$B,MATCH(F533,Teams!$A:$A,0))</f>
        <v>Sunrisers Hyderabad</v>
      </c>
      <c r="R533" t="str">
        <f>INDEX(Teams!$B:$B,MATCH(G533,Teams!$A:$A,0))</f>
        <v>Sunrisers Hyderabad</v>
      </c>
      <c r="S533" t="str">
        <f>IF(K533="","No result",INDEX(Teams!$B:$B,MATCH(K533,Teams!$A:$A,0)))</f>
        <v>Sunrisers Hyderabad</v>
      </c>
      <c r="T533" t="str">
        <f>INDEX(Venues!$B:$B,MATCH(O533,Venues!$A:$A,0))</f>
        <v>Saurashtra Cricket Association Stadium</v>
      </c>
      <c r="U533" t="str">
        <f>INDEX(Venues!$C:$C,MATCH(O533,Venues!$A:$A,0))</f>
        <v>Rajkot</v>
      </c>
      <c r="V533" t="str">
        <f>IF(L533&gt;0,L533&amp;" runs",IF(M533&gt;0,M533&amp;" wickets","-"))</f>
        <v>10 wickets</v>
      </c>
      <c r="W533">
        <f>IF(G533=K533,1,0)</f>
        <v>1</v>
      </c>
      <c r="X533">
        <f>IF(L533&gt;0,L533,"")</f>
        <v/>
      </c>
      <c r="Y533">
        <f>IF(X533="","",IF(X533&gt;Stats!$B$15,"Outlier",""))</f>
        <v/>
      </c>
      <c r="Z533" t="str">
        <f>P533&amp;" vs "&amp;Q533</f>
        <v>Gujarat Lions vs Sunrisers Hyderabad</v>
      </c>
    </row>
    <row r="534" spans="1:26" x14ac:dyDescent="0.25">
      <c r="A534">
        <v>592</v>
      </c>
      <c r="B534">
        <v>2016</v>
      </c>
      <c r="C534" s="5">
        <v>42482</v>
      </c>
      <c r="D534" t="s">
        <v>172</v>
      </c>
      <c r="E534" t="s">
        <v>46</v>
      </c>
      <c r="F534" t="s">
        <v>44</v>
      </c>
      <c r="G534" t="s">
        <v>44</v>
      </c>
      <c r="H534" t="s">
        <v>173</v>
      </c>
      <c r="I534" t="s">
        <v>174</v>
      </c>
      <c r="J534">
        <v>0</v>
      </c>
      <c r="K534" t="s">
        <v>46</v>
      </c>
      <c r="L534">
        <v>13</v>
      </c>
      <c r="M534">
        <v>0</v>
      </c>
      <c r="N534" t="s">
        <v>223</v>
      </c>
      <c r="O534" t="s">
        <v>96</v>
      </c>
      <c r="P534" t="str">
        <f>INDEX(Teams!$B:$B,MATCH(E534,Teams!$A:$A,0))</f>
        <v>Royal Challengers Bangalore</v>
      </c>
      <c r="Q534" t="str">
        <f>INDEX(Teams!$B:$B,MATCH(F534,Teams!$A:$A,0))</f>
        <v>Rising Pune Supergiant</v>
      </c>
      <c r="R534" t="str">
        <f>INDEX(Teams!$B:$B,MATCH(G534,Teams!$A:$A,0))</f>
        <v>Rising Pune Supergiant</v>
      </c>
      <c r="S534" t="str">
        <f>IF(K534="","No result",INDEX(Teams!$B:$B,MATCH(K534,Teams!$A:$A,0)))</f>
        <v>Royal Challengers Bangalore</v>
      </c>
      <c r="T534" t="str">
        <f>INDEX(Venues!$B:$B,MATCH(O534,Venues!$A:$A,0))</f>
        <v>Maharashtra Cricket Association Stadium</v>
      </c>
      <c r="U534" t="str">
        <f>INDEX(Venues!$C:$C,MATCH(O534,Venues!$A:$A,0))</f>
        <v>Pune</v>
      </c>
      <c r="V534" t="str">
        <f>IF(L534&gt;0,L534&amp;" runs",IF(M534&gt;0,M534&amp;" wickets","-"))</f>
        <v>13 runs</v>
      </c>
      <c r="W534">
        <f>IF(G534=K534,1,0)</f>
        <v>0</v>
      </c>
      <c r="X534">
        <f>IF(L534&gt;0,L534,"")</f>
        <v>13</v>
      </c>
      <c r="Y534">
        <f>IF(X534="","",IF(X534&gt;Stats!$B$15,"Outlier",""))</f>
        <v/>
      </c>
      <c r="Z534" t="str">
        <f>P534&amp;" vs "&amp;Q534</f>
        <v>Royal Challengers Bangalore vs Rising Pune Supergiant</v>
      </c>
    </row>
    <row r="535" spans="1:26" x14ac:dyDescent="0.25">
      <c r="A535">
        <v>593</v>
      </c>
      <c r="B535">
        <v>2016</v>
      </c>
      <c r="C535" s="5">
        <v>42483</v>
      </c>
      <c r="D535" t="s">
        <v>172</v>
      </c>
      <c r="E535" t="s">
        <v>20</v>
      </c>
      <c r="F535" t="s">
        <v>35</v>
      </c>
      <c r="G535" t="s">
        <v>35</v>
      </c>
      <c r="H535" t="s">
        <v>173</v>
      </c>
      <c r="I535" t="s">
        <v>174</v>
      </c>
      <c r="J535">
        <v>0</v>
      </c>
      <c r="K535" t="s">
        <v>20</v>
      </c>
      <c r="L535">
        <v>10</v>
      </c>
      <c r="M535">
        <v>0</v>
      </c>
      <c r="N535" t="s">
        <v>323</v>
      </c>
      <c r="O535" t="s">
        <v>75</v>
      </c>
      <c r="P535" t="str">
        <f>INDEX(Teams!$B:$B,MATCH(E535,Teams!$A:$A,0))</f>
        <v>Delhi Capitals</v>
      </c>
      <c r="Q535" t="str">
        <f>INDEX(Teams!$B:$B,MATCH(F535,Teams!$A:$A,0))</f>
        <v>Mumbai Indians</v>
      </c>
      <c r="R535" t="str">
        <f>INDEX(Teams!$B:$B,MATCH(G535,Teams!$A:$A,0))</f>
        <v>Mumbai Indians</v>
      </c>
      <c r="S535" t="str">
        <f>IF(K535="","No result",INDEX(Teams!$B:$B,MATCH(K535,Teams!$A:$A,0)))</f>
        <v>Delhi Capitals</v>
      </c>
      <c r="T535" t="str">
        <f>INDEX(Venues!$B:$B,MATCH(O535,Venues!$A:$A,0))</f>
        <v>Feroz Shah Kotla</v>
      </c>
      <c r="U535" t="str">
        <f>INDEX(Venues!$C:$C,MATCH(O535,Venues!$A:$A,0))</f>
        <v>Delhi</v>
      </c>
      <c r="V535" t="str">
        <f>IF(L535&gt;0,L535&amp;" runs",IF(M535&gt;0,M535&amp;" wickets","-"))</f>
        <v>10 runs</v>
      </c>
      <c r="W535">
        <f>IF(G535=K535,1,0)</f>
        <v>0</v>
      </c>
      <c r="X535">
        <f>IF(L535&gt;0,L535,"")</f>
        <v>10</v>
      </c>
      <c r="Y535">
        <f>IF(X535="","",IF(X535&gt;Stats!$B$15,"Outlier",""))</f>
        <v/>
      </c>
      <c r="Z535" t="str">
        <f>P535&amp;" vs "&amp;Q535</f>
        <v>Delhi Capitals vs Mumbai Indians</v>
      </c>
    </row>
    <row r="536" spans="1:26" x14ac:dyDescent="0.25">
      <c r="A536">
        <v>594</v>
      </c>
      <c r="B536">
        <v>2016</v>
      </c>
      <c r="C536" s="5">
        <v>42483</v>
      </c>
      <c r="D536" t="s">
        <v>172</v>
      </c>
      <c r="E536" t="s">
        <v>26</v>
      </c>
      <c r="F536" t="s">
        <v>49</v>
      </c>
      <c r="G536" t="s">
        <v>49</v>
      </c>
      <c r="H536" t="s">
        <v>173</v>
      </c>
      <c r="I536" t="s">
        <v>174</v>
      </c>
      <c r="J536">
        <v>0</v>
      </c>
      <c r="K536" t="s">
        <v>49</v>
      </c>
      <c r="L536">
        <v>0</v>
      </c>
      <c r="M536">
        <v>5</v>
      </c>
      <c r="N536" t="s">
        <v>356</v>
      </c>
      <c r="O536" t="s">
        <v>111</v>
      </c>
      <c r="P536" t="str">
        <f>INDEX(Teams!$B:$B,MATCH(E536,Teams!$A:$A,0))</f>
        <v>Kings XI Punjab</v>
      </c>
      <c r="Q536" t="str">
        <f>INDEX(Teams!$B:$B,MATCH(F536,Teams!$A:$A,0))</f>
        <v>Sunrisers Hyderabad</v>
      </c>
      <c r="R536" t="str">
        <f>INDEX(Teams!$B:$B,MATCH(G536,Teams!$A:$A,0))</f>
        <v>Sunrisers Hyderabad</v>
      </c>
      <c r="S536" t="str">
        <f>IF(K536="","No result",INDEX(Teams!$B:$B,MATCH(K536,Teams!$A:$A,0)))</f>
        <v>Sunrisers Hyderabad</v>
      </c>
      <c r="T536" t="str">
        <f>INDEX(Venues!$B:$B,MATCH(O536,Venues!$A:$A,0))</f>
        <v>Rajiv Gandhi International Stadium</v>
      </c>
      <c r="U536" t="str">
        <f>INDEX(Venues!$C:$C,MATCH(O536,Venues!$A:$A,0))</f>
        <v>Hyderabad</v>
      </c>
      <c r="V536" t="str">
        <f>IF(L536&gt;0,L536&amp;" runs",IF(M536&gt;0,M536&amp;" wickets","-"))</f>
        <v>5 wickets</v>
      </c>
      <c r="W536">
        <f>IF(G536=K536,1,0)</f>
        <v>1</v>
      </c>
      <c r="X536">
        <f>IF(L536&gt;0,L536,"")</f>
        <v/>
      </c>
      <c r="Y536">
        <f>IF(X536="","",IF(X536&gt;Stats!$B$15,"Outlier",""))</f>
        <v/>
      </c>
      <c r="Z536" t="str">
        <f>P536&amp;" vs "&amp;Q536</f>
        <v>Kings XI Punjab vs Sunrisers Hyderabad</v>
      </c>
    </row>
    <row r="537" spans="1:26" x14ac:dyDescent="0.25">
      <c r="A537">
        <v>595</v>
      </c>
      <c r="B537">
        <v>2016</v>
      </c>
      <c r="C537" s="5">
        <v>42484</v>
      </c>
      <c r="D537" t="s">
        <v>172</v>
      </c>
      <c r="E537" t="s">
        <v>46</v>
      </c>
      <c r="F537" t="s">
        <v>23</v>
      </c>
      <c r="G537" t="s">
        <v>46</v>
      </c>
      <c r="H537" t="s">
        <v>176</v>
      </c>
      <c r="I537" t="s">
        <v>174</v>
      </c>
      <c r="J537">
        <v>0</v>
      </c>
      <c r="K537" t="s">
        <v>23</v>
      </c>
      <c r="L537">
        <v>0</v>
      </c>
      <c r="M537">
        <v>6</v>
      </c>
      <c r="N537" t="s">
        <v>282</v>
      </c>
      <c r="O537" t="s">
        <v>116</v>
      </c>
      <c r="P537" t="str">
        <f>INDEX(Teams!$B:$B,MATCH(E537,Teams!$A:$A,0))</f>
        <v>Royal Challengers Bangalore</v>
      </c>
      <c r="Q537" t="str">
        <f>INDEX(Teams!$B:$B,MATCH(F537,Teams!$A:$A,0))</f>
        <v>Gujarat Lions</v>
      </c>
      <c r="R537" t="str">
        <f>INDEX(Teams!$B:$B,MATCH(G537,Teams!$A:$A,0))</f>
        <v>Royal Challengers Bangalore</v>
      </c>
      <c r="S537" t="str">
        <f>IF(K537="","No result",INDEX(Teams!$B:$B,MATCH(K537,Teams!$A:$A,0)))</f>
        <v>Gujarat Lions</v>
      </c>
      <c r="T537" t="str">
        <f>INDEX(Venues!$B:$B,MATCH(O537,Venues!$A:$A,0))</f>
        <v>Saurashtra Cricket Association Stadium</v>
      </c>
      <c r="U537" t="str">
        <f>INDEX(Venues!$C:$C,MATCH(O537,Venues!$A:$A,0))</f>
        <v>Rajkot</v>
      </c>
      <c r="V537" t="str">
        <f>IF(L537&gt;0,L537&amp;" runs",IF(M537&gt;0,M537&amp;" wickets","-"))</f>
        <v>6 wickets</v>
      </c>
      <c r="W537">
        <f>IF(G537=K537,1,0)</f>
        <v>0</v>
      </c>
      <c r="X537">
        <f>IF(L537&gt;0,L537,"")</f>
        <v/>
      </c>
      <c r="Y537">
        <f>IF(X537="","",IF(X537&gt;Stats!$B$15,"Outlier",""))</f>
        <v/>
      </c>
      <c r="Z537" t="str">
        <f>P537&amp;" vs "&amp;Q537</f>
        <v>Royal Challengers Bangalore vs Gujarat Lions</v>
      </c>
    </row>
    <row r="538" spans="1:26" x14ac:dyDescent="0.25">
      <c r="A538">
        <v>596</v>
      </c>
      <c r="B538">
        <v>2016</v>
      </c>
      <c r="C538" s="5">
        <v>42484</v>
      </c>
      <c r="D538" t="s">
        <v>172</v>
      </c>
      <c r="E538" t="s">
        <v>44</v>
      </c>
      <c r="F538" t="s">
        <v>32</v>
      </c>
      <c r="G538" t="s">
        <v>32</v>
      </c>
      <c r="H538" t="s">
        <v>173</v>
      </c>
      <c r="I538" t="s">
        <v>174</v>
      </c>
      <c r="J538">
        <v>0</v>
      </c>
      <c r="K538" t="s">
        <v>32</v>
      </c>
      <c r="L538">
        <v>0</v>
      </c>
      <c r="M538">
        <v>2</v>
      </c>
      <c r="N538" t="s">
        <v>357</v>
      </c>
      <c r="O538" t="s">
        <v>96</v>
      </c>
      <c r="P538" t="str">
        <f>INDEX(Teams!$B:$B,MATCH(E538,Teams!$A:$A,0))</f>
        <v>Rising Pune Supergiant</v>
      </c>
      <c r="Q538" t="str">
        <f>INDEX(Teams!$B:$B,MATCH(F538,Teams!$A:$A,0))</f>
        <v>Kolkata Knight Riders</v>
      </c>
      <c r="R538" t="str">
        <f>INDEX(Teams!$B:$B,MATCH(G538,Teams!$A:$A,0))</f>
        <v>Kolkata Knight Riders</v>
      </c>
      <c r="S538" t="str">
        <f>IF(K538="","No result",INDEX(Teams!$B:$B,MATCH(K538,Teams!$A:$A,0)))</f>
        <v>Kolkata Knight Riders</v>
      </c>
      <c r="T538" t="str">
        <f>INDEX(Venues!$B:$B,MATCH(O538,Venues!$A:$A,0))</f>
        <v>Maharashtra Cricket Association Stadium</v>
      </c>
      <c r="U538" t="str">
        <f>INDEX(Venues!$C:$C,MATCH(O538,Venues!$A:$A,0))</f>
        <v>Pune</v>
      </c>
      <c r="V538" t="str">
        <f>IF(L538&gt;0,L538&amp;" runs",IF(M538&gt;0,M538&amp;" wickets","-"))</f>
        <v>2 wickets</v>
      </c>
      <c r="W538">
        <f>IF(G538=K538,1,0)</f>
        <v>1</v>
      </c>
      <c r="X538">
        <f>IF(L538&gt;0,L538,"")</f>
        <v/>
      </c>
      <c r="Y538">
        <f>IF(X538="","",IF(X538&gt;Stats!$B$15,"Outlier",""))</f>
        <v/>
      </c>
      <c r="Z538" t="str">
        <f>P538&amp;" vs "&amp;Q538</f>
        <v>Rising Pune Supergiant vs Kolkata Knight Riders</v>
      </c>
    </row>
    <row r="539" spans="1:26" x14ac:dyDescent="0.25">
      <c r="A539">
        <v>597</v>
      </c>
      <c r="B539">
        <v>2016</v>
      </c>
      <c r="C539" s="5">
        <v>42485</v>
      </c>
      <c r="D539" t="s">
        <v>172</v>
      </c>
      <c r="E539" t="s">
        <v>35</v>
      </c>
      <c r="F539" t="s">
        <v>26</v>
      </c>
      <c r="G539" t="s">
        <v>26</v>
      </c>
      <c r="H539" t="s">
        <v>173</v>
      </c>
      <c r="I539" t="s">
        <v>174</v>
      </c>
      <c r="J539">
        <v>0</v>
      </c>
      <c r="K539" t="s">
        <v>35</v>
      </c>
      <c r="L539">
        <v>25</v>
      </c>
      <c r="M539">
        <v>0</v>
      </c>
      <c r="N539" t="s">
        <v>327</v>
      </c>
      <c r="O539" t="s">
        <v>109</v>
      </c>
      <c r="P539" t="str">
        <f>INDEX(Teams!$B:$B,MATCH(E539,Teams!$A:$A,0))</f>
        <v>Mumbai Indians</v>
      </c>
      <c r="Q539" t="str">
        <f>INDEX(Teams!$B:$B,MATCH(F539,Teams!$A:$A,0))</f>
        <v>Kings XI Punjab</v>
      </c>
      <c r="R539" t="str">
        <f>INDEX(Teams!$B:$B,MATCH(G539,Teams!$A:$A,0))</f>
        <v>Kings XI Punjab</v>
      </c>
      <c r="S539" t="str">
        <f>IF(K539="","No result",INDEX(Teams!$B:$B,MATCH(K539,Teams!$A:$A,0)))</f>
        <v>Mumbai Indians</v>
      </c>
      <c r="T539" t="str">
        <f>INDEX(Venues!$B:$B,MATCH(O539,Venues!$A:$A,0))</f>
        <v>Punjab Cricket Association IS Bindra Stadium</v>
      </c>
      <c r="U539" t="str">
        <f>INDEX(Venues!$C:$C,MATCH(O539,Venues!$A:$A,0))</f>
        <v>Chandigarh</v>
      </c>
      <c r="V539" t="str">
        <f>IF(L539&gt;0,L539&amp;" runs",IF(M539&gt;0,M539&amp;" wickets","-"))</f>
        <v>25 runs</v>
      </c>
      <c r="W539">
        <f>IF(G539=K539,1,0)</f>
        <v>0</v>
      </c>
      <c r="X539">
        <f>IF(L539&gt;0,L539,"")</f>
        <v>25</v>
      </c>
      <c r="Y539">
        <f>IF(X539="","",IF(X539&gt;Stats!$B$15,"Outlier",""))</f>
        <v/>
      </c>
      <c r="Z539" t="str">
        <f>P539&amp;" vs "&amp;Q539</f>
        <v>Mumbai Indians vs Kings XI Punjab</v>
      </c>
    </row>
    <row r="540" spans="1:26" x14ac:dyDescent="0.25">
      <c r="A540">
        <v>598</v>
      </c>
      <c r="B540">
        <v>2016</v>
      </c>
      <c r="C540" s="5">
        <v>42486</v>
      </c>
      <c r="D540" t="s">
        <v>172</v>
      </c>
      <c r="E540" t="s">
        <v>49</v>
      </c>
      <c r="F540" t="s">
        <v>44</v>
      </c>
      <c r="G540" t="s">
        <v>44</v>
      </c>
      <c r="H540" t="s">
        <v>173</v>
      </c>
      <c r="I540" t="s">
        <v>174</v>
      </c>
      <c r="J540">
        <v>1</v>
      </c>
      <c r="K540" t="s">
        <v>44</v>
      </c>
      <c r="L540">
        <v>34</v>
      </c>
      <c r="M540">
        <v>0</v>
      </c>
      <c r="N540" t="s">
        <v>358</v>
      </c>
      <c r="O540" t="s">
        <v>111</v>
      </c>
      <c r="P540" t="str">
        <f>INDEX(Teams!$B:$B,MATCH(E540,Teams!$A:$A,0))</f>
        <v>Sunrisers Hyderabad</v>
      </c>
      <c r="Q540" t="str">
        <f>INDEX(Teams!$B:$B,MATCH(F540,Teams!$A:$A,0))</f>
        <v>Rising Pune Supergiant</v>
      </c>
      <c r="R540" t="str">
        <f>INDEX(Teams!$B:$B,MATCH(G540,Teams!$A:$A,0))</f>
        <v>Rising Pune Supergiant</v>
      </c>
      <c r="S540" t="str">
        <f>IF(K540="","No result",INDEX(Teams!$B:$B,MATCH(K540,Teams!$A:$A,0)))</f>
        <v>Rising Pune Supergiant</v>
      </c>
      <c r="T540" t="str">
        <f>INDEX(Venues!$B:$B,MATCH(O540,Venues!$A:$A,0))</f>
        <v>Rajiv Gandhi International Stadium</v>
      </c>
      <c r="U540" t="str">
        <f>INDEX(Venues!$C:$C,MATCH(O540,Venues!$A:$A,0))</f>
        <v>Hyderabad</v>
      </c>
      <c r="V540" t="str">
        <f>IF(L540&gt;0,L540&amp;" runs",IF(M540&gt;0,M540&amp;" wickets","-"))</f>
        <v>34 runs</v>
      </c>
      <c r="W540">
        <f>IF(G540=K540,1,0)</f>
        <v>1</v>
      </c>
      <c r="X540">
        <f>IF(L540&gt;0,L540,"")</f>
        <v>34</v>
      </c>
      <c r="Y540">
        <f>IF(X540="","",IF(X540&gt;Stats!$B$15,"Outlier",""))</f>
        <v/>
      </c>
      <c r="Z540" t="str">
        <f>P540&amp;" vs "&amp;Q540</f>
        <v>Sunrisers Hyderabad vs Rising Pune Supergiant</v>
      </c>
    </row>
    <row r="541" spans="1:26" x14ac:dyDescent="0.25">
      <c r="A541">
        <v>599</v>
      </c>
      <c r="B541">
        <v>2016</v>
      </c>
      <c r="C541" s="5">
        <v>42487</v>
      </c>
      <c r="D541" t="s">
        <v>172</v>
      </c>
      <c r="E541" t="s">
        <v>23</v>
      </c>
      <c r="F541" t="s">
        <v>20</v>
      </c>
      <c r="G541" t="s">
        <v>20</v>
      </c>
      <c r="H541" t="s">
        <v>173</v>
      </c>
      <c r="I541" t="s">
        <v>174</v>
      </c>
      <c r="J541">
        <v>0</v>
      </c>
      <c r="K541" t="s">
        <v>23</v>
      </c>
      <c r="L541">
        <v>1</v>
      </c>
      <c r="M541">
        <v>0</v>
      </c>
      <c r="N541" t="s">
        <v>359</v>
      </c>
      <c r="O541" t="s">
        <v>75</v>
      </c>
      <c r="P541" t="str">
        <f>INDEX(Teams!$B:$B,MATCH(E541,Teams!$A:$A,0))</f>
        <v>Gujarat Lions</v>
      </c>
      <c r="Q541" t="str">
        <f>INDEX(Teams!$B:$B,MATCH(F541,Teams!$A:$A,0))</f>
        <v>Delhi Capitals</v>
      </c>
      <c r="R541" t="str">
        <f>INDEX(Teams!$B:$B,MATCH(G541,Teams!$A:$A,0))</f>
        <v>Delhi Capitals</v>
      </c>
      <c r="S541" t="str">
        <f>IF(K541="","No result",INDEX(Teams!$B:$B,MATCH(K541,Teams!$A:$A,0)))</f>
        <v>Gujarat Lions</v>
      </c>
      <c r="T541" t="str">
        <f>INDEX(Venues!$B:$B,MATCH(O541,Venues!$A:$A,0))</f>
        <v>Feroz Shah Kotla</v>
      </c>
      <c r="U541" t="str">
        <f>INDEX(Venues!$C:$C,MATCH(O541,Venues!$A:$A,0))</f>
        <v>Delhi</v>
      </c>
      <c r="V541" t="str">
        <f>IF(L541&gt;0,L541&amp;" runs",IF(M541&gt;0,M541&amp;" wickets","-"))</f>
        <v>1 runs</v>
      </c>
      <c r="W541">
        <f>IF(G541=K541,1,0)</f>
        <v>0</v>
      </c>
      <c r="X541">
        <f>IF(L541&gt;0,L541,"")</f>
        <v>1</v>
      </c>
      <c r="Y541">
        <f>IF(X541="","",IF(X541&gt;Stats!$B$15,"Outlier",""))</f>
        <v/>
      </c>
      <c r="Z541" t="str">
        <f>P541&amp;" vs "&amp;Q541</f>
        <v>Gujarat Lions vs Delhi Capitals</v>
      </c>
    </row>
    <row r="542" spans="1:26" x14ac:dyDescent="0.25">
      <c r="A542">
        <v>600</v>
      </c>
      <c r="B542">
        <v>2016</v>
      </c>
      <c r="C542" s="5">
        <v>42488</v>
      </c>
      <c r="D542" t="s">
        <v>172</v>
      </c>
      <c r="E542" t="s">
        <v>32</v>
      </c>
      <c r="F542" t="s">
        <v>35</v>
      </c>
      <c r="G542" t="s">
        <v>35</v>
      </c>
      <c r="H542" t="s">
        <v>173</v>
      </c>
      <c r="I542" t="s">
        <v>174</v>
      </c>
      <c r="J542">
        <v>0</v>
      </c>
      <c r="K542" t="s">
        <v>35</v>
      </c>
      <c r="L542">
        <v>0</v>
      </c>
      <c r="M542">
        <v>6</v>
      </c>
      <c r="N542" t="s">
        <v>235</v>
      </c>
      <c r="O542" t="s">
        <v>138</v>
      </c>
      <c r="P542" t="str">
        <f>INDEX(Teams!$B:$B,MATCH(E542,Teams!$A:$A,0))</f>
        <v>Kolkata Knight Riders</v>
      </c>
      <c r="Q542" t="str">
        <f>INDEX(Teams!$B:$B,MATCH(F542,Teams!$A:$A,0))</f>
        <v>Mumbai Indians</v>
      </c>
      <c r="R542" t="str">
        <f>INDEX(Teams!$B:$B,MATCH(G542,Teams!$A:$A,0))</f>
        <v>Mumbai Indians</v>
      </c>
      <c r="S542" t="str">
        <f>IF(K542="","No result",INDEX(Teams!$B:$B,MATCH(K542,Teams!$A:$A,0)))</f>
        <v>Mumbai Indians</v>
      </c>
      <c r="T542" t="str">
        <f>INDEX(Venues!$B:$B,MATCH(O542,Venues!$A:$A,0))</f>
        <v>Wankhede Stadium</v>
      </c>
      <c r="U542" t="str">
        <f>INDEX(Venues!$C:$C,MATCH(O542,Venues!$A:$A,0))</f>
        <v>Mumbai</v>
      </c>
      <c r="V542" t="str">
        <f>IF(L542&gt;0,L542&amp;" runs",IF(M542&gt;0,M542&amp;" wickets","-"))</f>
        <v>6 wickets</v>
      </c>
      <c r="W542">
        <f>IF(G542=K542,1,0)</f>
        <v>1</v>
      </c>
      <c r="X542">
        <f>IF(L542&gt;0,L542,"")</f>
        <v/>
      </c>
      <c r="Y542">
        <f>IF(X542="","",IF(X542&gt;Stats!$B$15,"Outlier",""))</f>
        <v/>
      </c>
      <c r="Z542" t="str">
        <f>P542&amp;" vs "&amp;Q542</f>
        <v>Kolkata Knight Riders vs Mumbai Indians</v>
      </c>
    </row>
    <row r="543" spans="1:26" x14ac:dyDescent="0.25">
      <c r="A543">
        <v>601</v>
      </c>
      <c r="B543">
        <v>2016</v>
      </c>
      <c r="C543" s="5">
        <v>42489</v>
      </c>
      <c r="D543" t="s">
        <v>172</v>
      </c>
      <c r="E543" t="s">
        <v>44</v>
      </c>
      <c r="F543" t="s">
        <v>23</v>
      </c>
      <c r="G543" t="s">
        <v>23</v>
      </c>
      <c r="H543" t="s">
        <v>173</v>
      </c>
      <c r="I543" t="s">
        <v>174</v>
      </c>
      <c r="J543">
        <v>0</v>
      </c>
      <c r="K543" t="s">
        <v>23</v>
      </c>
      <c r="L543">
        <v>0</v>
      </c>
      <c r="M543">
        <v>3</v>
      </c>
      <c r="N543" t="s">
        <v>238</v>
      </c>
      <c r="O543" t="s">
        <v>96</v>
      </c>
      <c r="P543" t="str">
        <f>INDEX(Teams!$B:$B,MATCH(E543,Teams!$A:$A,0))</f>
        <v>Rising Pune Supergiant</v>
      </c>
      <c r="Q543" t="str">
        <f>INDEX(Teams!$B:$B,MATCH(F543,Teams!$A:$A,0))</f>
        <v>Gujarat Lions</v>
      </c>
      <c r="R543" t="str">
        <f>INDEX(Teams!$B:$B,MATCH(G543,Teams!$A:$A,0))</f>
        <v>Gujarat Lions</v>
      </c>
      <c r="S543" t="str">
        <f>IF(K543="","No result",INDEX(Teams!$B:$B,MATCH(K543,Teams!$A:$A,0)))</f>
        <v>Gujarat Lions</v>
      </c>
      <c r="T543" t="str">
        <f>INDEX(Venues!$B:$B,MATCH(O543,Venues!$A:$A,0))</f>
        <v>Maharashtra Cricket Association Stadium</v>
      </c>
      <c r="U543" t="str">
        <f>INDEX(Venues!$C:$C,MATCH(O543,Venues!$A:$A,0))</f>
        <v>Pune</v>
      </c>
      <c r="V543" t="str">
        <f>IF(L543&gt;0,L543&amp;" runs",IF(M543&gt;0,M543&amp;" wickets","-"))</f>
        <v>3 wickets</v>
      </c>
      <c r="W543">
        <f>IF(G543=K543,1,0)</f>
        <v>1</v>
      </c>
      <c r="X543">
        <f>IF(L543&gt;0,L543,"")</f>
        <v/>
      </c>
      <c r="Y543">
        <f>IF(X543="","",IF(X543&gt;Stats!$B$15,"Outlier",""))</f>
        <v/>
      </c>
      <c r="Z543" t="str">
        <f>P543&amp;" vs "&amp;Q543</f>
        <v>Rising Pune Supergiant vs Gujarat Lions</v>
      </c>
    </row>
    <row r="544" spans="1:26" x14ac:dyDescent="0.25">
      <c r="A544">
        <v>602</v>
      </c>
      <c r="B544">
        <v>2016</v>
      </c>
      <c r="C544" s="5">
        <v>42490</v>
      </c>
      <c r="D544" t="s">
        <v>172</v>
      </c>
      <c r="E544" t="s">
        <v>20</v>
      </c>
      <c r="F544" t="s">
        <v>32</v>
      </c>
      <c r="G544" t="s">
        <v>32</v>
      </c>
      <c r="H544" t="s">
        <v>173</v>
      </c>
      <c r="I544" t="s">
        <v>174</v>
      </c>
      <c r="J544">
        <v>0</v>
      </c>
      <c r="K544" t="s">
        <v>20</v>
      </c>
      <c r="L544">
        <v>27</v>
      </c>
      <c r="M544">
        <v>0</v>
      </c>
      <c r="N544" t="s">
        <v>360</v>
      </c>
      <c r="O544" t="s">
        <v>75</v>
      </c>
      <c r="P544" t="str">
        <f>INDEX(Teams!$B:$B,MATCH(E544,Teams!$A:$A,0))</f>
        <v>Delhi Capitals</v>
      </c>
      <c r="Q544" t="str">
        <f>INDEX(Teams!$B:$B,MATCH(F544,Teams!$A:$A,0))</f>
        <v>Kolkata Knight Riders</v>
      </c>
      <c r="R544" t="str">
        <f>INDEX(Teams!$B:$B,MATCH(G544,Teams!$A:$A,0))</f>
        <v>Kolkata Knight Riders</v>
      </c>
      <c r="S544" t="str">
        <f>IF(K544="","No result",INDEX(Teams!$B:$B,MATCH(K544,Teams!$A:$A,0)))</f>
        <v>Delhi Capitals</v>
      </c>
      <c r="T544" t="str">
        <f>INDEX(Venues!$B:$B,MATCH(O544,Venues!$A:$A,0))</f>
        <v>Feroz Shah Kotla</v>
      </c>
      <c r="U544" t="str">
        <f>INDEX(Venues!$C:$C,MATCH(O544,Venues!$A:$A,0))</f>
        <v>Delhi</v>
      </c>
      <c r="V544" t="str">
        <f>IF(L544&gt;0,L544&amp;" runs",IF(M544&gt;0,M544&amp;" wickets","-"))</f>
        <v>27 runs</v>
      </c>
      <c r="W544">
        <f>IF(G544=K544,1,0)</f>
        <v>0</v>
      </c>
      <c r="X544">
        <f>IF(L544&gt;0,L544,"")</f>
        <v>27</v>
      </c>
      <c r="Y544">
        <f>IF(X544="","",IF(X544&gt;Stats!$B$15,"Outlier",""))</f>
        <v/>
      </c>
      <c r="Z544" t="str">
        <f>P544&amp;" vs "&amp;Q544</f>
        <v>Delhi Capitals vs Kolkata Knight Riders</v>
      </c>
    </row>
    <row r="545" spans="1:26" x14ac:dyDescent="0.25">
      <c r="A545">
        <v>603</v>
      </c>
      <c r="B545">
        <v>2016</v>
      </c>
      <c r="C545" s="5">
        <v>42490</v>
      </c>
      <c r="D545" t="s">
        <v>172</v>
      </c>
      <c r="E545" t="s">
        <v>49</v>
      </c>
      <c r="F545" t="s">
        <v>46</v>
      </c>
      <c r="G545" t="s">
        <v>46</v>
      </c>
      <c r="H545" t="s">
        <v>173</v>
      </c>
      <c r="I545" t="s">
        <v>174</v>
      </c>
      <c r="J545">
        <v>0</v>
      </c>
      <c r="K545" t="s">
        <v>49</v>
      </c>
      <c r="L545">
        <v>15</v>
      </c>
      <c r="M545">
        <v>0</v>
      </c>
      <c r="N545" t="s">
        <v>257</v>
      </c>
      <c r="O545" t="s">
        <v>111</v>
      </c>
      <c r="P545" t="str">
        <f>INDEX(Teams!$B:$B,MATCH(E545,Teams!$A:$A,0))</f>
        <v>Sunrisers Hyderabad</v>
      </c>
      <c r="Q545" t="str">
        <f>INDEX(Teams!$B:$B,MATCH(F545,Teams!$A:$A,0))</f>
        <v>Royal Challengers Bangalore</v>
      </c>
      <c r="R545" t="str">
        <f>INDEX(Teams!$B:$B,MATCH(G545,Teams!$A:$A,0))</f>
        <v>Royal Challengers Bangalore</v>
      </c>
      <c r="S545" t="str">
        <f>IF(K545="","No result",INDEX(Teams!$B:$B,MATCH(K545,Teams!$A:$A,0)))</f>
        <v>Sunrisers Hyderabad</v>
      </c>
      <c r="T545" t="str">
        <f>INDEX(Venues!$B:$B,MATCH(O545,Venues!$A:$A,0))</f>
        <v>Rajiv Gandhi International Stadium</v>
      </c>
      <c r="U545" t="str">
        <f>INDEX(Venues!$C:$C,MATCH(O545,Venues!$A:$A,0))</f>
        <v>Hyderabad</v>
      </c>
      <c r="V545" t="str">
        <f>IF(L545&gt;0,L545&amp;" runs",IF(M545&gt;0,M545&amp;" wickets","-"))</f>
        <v>15 runs</v>
      </c>
      <c r="W545">
        <f>IF(G545=K545,1,0)</f>
        <v>0</v>
      </c>
      <c r="X545">
        <f>IF(L545&gt;0,L545,"")</f>
        <v>15</v>
      </c>
      <c r="Y545">
        <f>IF(X545="","",IF(X545&gt;Stats!$B$15,"Outlier",""))</f>
        <v/>
      </c>
      <c r="Z545" t="str">
        <f>P545&amp;" vs "&amp;Q545</f>
        <v>Sunrisers Hyderabad vs Royal Challengers Bangalore</v>
      </c>
    </row>
    <row r="546" spans="1:26" x14ac:dyDescent="0.25">
      <c r="A546">
        <v>604</v>
      </c>
      <c r="B546">
        <v>2016</v>
      </c>
      <c r="C546" s="5">
        <v>42491</v>
      </c>
      <c r="D546" t="s">
        <v>172</v>
      </c>
      <c r="E546" t="s">
        <v>26</v>
      </c>
      <c r="F546" t="s">
        <v>23</v>
      </c>
      <c r="G546" t="s">
        <v>23</v>
      </c>
      <c r="H546" t="s">
        <v>173</v>
      </c>
      <c r="I546" t="s">
        <v>174</v>
      </c>
      <c r="J546">
        <v>0</v>
      </c>
      <c r="K546" t="s">
        <v>26</v>
      </c>
      <c r="L546">
        <v>23</v>
      </c>
      <c r="M546">
        <v>0</v>
      </c>
      <c r="N546" t="s">
        <v>339</v>
      </c>
      <c r="O546" t="s">
        <v>116</v>
      </c>
      <c r="P546" t="str">
        <f>INDEX(Teams!$B:$B,MATCH(E546,Teams!$A:$A,0))</f>
        <v>Kings XI Punjab</v>
      </c>
      <c r="Q546" t="str">
        <f>INDEX(Teams!$B:$B,MATCH(F546,Teams!$A:$A,0))</f>
        <v>Gujarat Lions</v>
      </c>
      <c r="R546" t="str">
        <f>INDEX(Teams!$B:$B,MATCH(G546,Teams!$A:$A,0))</f>
        <v>Gujarat Lions</v>
      </c>
      <c r="S546" t="str">
        <f>IF(K546="","No result",INDEX(Teams!$B:$B,MATCH(K546,Teams!$A:$A,0)))</f>
        <v>Kings XI Punjab</v>
      </c>
      <c r="T546" t="str">
        <f>INDEX(Venues!$B:$B,MATCH(O546,Venues!$A:$A,0))</f>
        <v>Saurashtra Cricket Association Stadium</v>
      </c>
      <c r="U546" t="str">
        <f>INDEX(Venues!$C:$C,MATCH(O546,Venues!$A:$A,0))</f>
        <v>Rajkot</v>
      </c>
      <c r="V546" t="str">
        <f>IF(L546&gt;0,L546&amp;" runs",IF(M546&gt;0,M546&amp;" wickets","-"))</f>
        <v>23 runs</v>
      </c>
      <c r="W546">
        <f>IF(G546=K546,1,0)</f>
        <v>0</v>
      </c>
      <c r="X546">
        <f>IF(L546&gt;0,L546,"")</f>
        <v>23</v>
      </c>
      <c r="Y546">
        <f>IF(X546="","",IF(X546&gt;Stats!$B$15,"Outlier",""))</f>
        <v/>
      </c>
      <c r="Z546" t="str">
        <f>P546&amp;" vs "&amp;Q546</f>
        <v>Kings XI Punjab vs Gujarat Lions</v>
      </c>
    </row>
    <row r="547" spans="1:26" x14ac:dyDescent="0.25">
      <c r="A547">
        <v>605</v>
      </c>
      <c r="B547">
        <v>2016</v>
      </c>
      <c r="C547" s="5">
        <v>42491</v>
      </c>
      <c r="D547" t="s">
        <v>172</v>
      </c>
      <c r="E547" t="s">
        <v>44</v>
      </c>
      <c r="F547" t="s">
        <v>35</v>
      </c>
      <c r="G547" t="s">
        <v>35</v>
      </c>
      <c r="H547" t="s">
        <v>173</v>
      </c>
      <c r="I547" t="s">
        <v>174</v>
      </c>
      <c r="J547">
        <v>0</v>
      </c>
      <c r="K547" t="s">
        <v>35</v>
      </c>
      <c r="L547">
        <v>0</v>
      </c>
      <c r="M547">
        <v>8</v>
      </c>
      <c r="N547" t="s">
        <v>235</v>
      </c>
      <c r="O547" t="s">
        <v>96</v>
      </c>
      <c r="P547" t="str">
        <f>INDEX(Teams!$B:$B,MATCH(E547,Teams!$A:$A,0))</f>
        <v>Rising Pune Supergiant</v>
      </c>
      <c r="Q547" t="str">
        <f>INDEX(Teams!$B:$B,MATCH(F547,Teams!$A:$A,0))</f>
        <v>Mumbai Indians</v>
      </c>
      <c r="R547" t="str">
        <f>INDEX(Teams!$B:$B,MATCH(G547,Teams!$A:$A,0))</f>
        <v>Mumbai Indians</v>
      </c>
      <c r="S547" t="str">
        <f>IF(K547="","No result",INDEX(Teams!$B:$B,MATCH(K547,Teams!$A:$A,0)))</f>
        <v>Mumbai Indians</v>
      </c>
      <c r="T547" t="str">
        <f>INDEX(Venues!$B:$B,MATCH(O547,Venues!$A:$A,0))</f>
        <v>Maharashtra Cricket Association Stadium</v>
      </c>
      <c r="U547" t="str">
        <f>INDEX(Venues!$C:$C,MATCH(O547,Venues!$A:$A,0))</f>
        <v>Pune</v>
      </c>
      <c r="V547" t="str">
        <f>IF(L547&gt;0,L547&amp;" runs",IF(M547&gt;0,M547&amp;" wickets","-"))</f>
        <v>8 wickets</v>
      </c>
      <c r="W547">
        <f>IF(G547=K547,1,0)</f>
        <v>1</v>
      </c>
      <c r="X547">
        <f>IF(L547&gt;0,L547,"")</f>
        <v/>
      </c>
      <c r="Y547">
        <f>IF(X547="","",IF(X547&gt;Stats!$B$15,"Outlier",""))</f>
        <v/>
      </c>
      <c r="Z547" t="str">
        <f>P547&amp;" vs "&amp;Q547</f>
        <v>Rising Pune Supergiant vs Mumbai Indians</v>
      </c>
    </row>
    <row r="548" spans="1:26" x14ac:dyDescent="0.25">
      <c r="A548">
        <v>606</v>
      </c>
      <c r="B548">
        <v>2016</v>
      </c>
      <c r="C548" s="5">
        <v>42492</v>
      </c>
      <c r="D548" t="s">
        <v>172</v>
      </c>
      <c r="E548" t="s">
        <v>46</v>
      </c>
      <c r="F548" t="s">
        <v>32</v>
      </c>
      <c r="G548" t="s">
        <v>32</v>
      </c>
      <c r="H548" t="s">
        <v>173</v>
      </c>
      <c r="I548" t="s">
        <v>174</v>
      </c>
      <c r="J548">
        <v>0</v>
      </c>
      <c r="K548" t="s">
        <v>32</v>
      </c>
      <c r="L548">
        <v>0</v>
      </c>
      <c r="M548">
        <v>5</v>
      </c>
      <c r="N548" t="s">
        <v>344</v>
      </c>
      <c r="O548" t="s">
        <v>92</v>
      </c>
      <c r="P548" t="str">
        <f>INDEX(Teams!$B:$B,MATCH(E548,Teams!$A:$A,0))</f>
        <v>Royal Challengers Bangalore</v>
      </c>
      <c r="Q548" t="str">
        <f>INDEX(Teams!$B:$B,MATCH(F548,Teams!$A:$A,0))</f>
        <v>Kolkata Knight Riders</v>
      </c>
      <c r="R548" t="str">
        <f>INDEX(Teams!$B:$B,MATCH(G548,Teams!$A:$A,0))</f>
        <v>Kolkata Knight Riders</v>
      </c>
      <c r="S548" t="str">
        <f>IF(K548="","No result",INDEX(Teams!$B:$B,MATCH(K548,Teams!$A:$A,0)))</f>
        <v>Kolkata Knight Riders</v>
      </c>
      <c r="T548" t="str">
        <f>INDEX(Venues!$B:$B,MATCH(O548,Venues!$A:$A,0))</f>
        <v>M Chinnaswamy Stadium</v>
      </c>
      <c r="U548" t="str">
        <f>INDEX(Venues!$C:$C,MATCH(O548,Venues!$A:$A,0))</f>
        <v>Bangalore</v>
      </c>
      <c r="V548" t="str">
        <f>IF(L548&gt;0,L548&amp;" runs",IF(M548&gt;0,M548&amp;" wickets","-"))</f>
        <v>5 wickets</v>
      </c>
      <c r="W548">
        <f>IF(G548=K548,1,0)</f>
        <v>1</v>
      </c>
      <c r="X548">
        <f>IF(L548&gt;0,L548,"")</f>
        <v/>
      </c>
      <c r="Y548">
        <f>IF(X548="","",IF(X548&gt;Stats!$B$15,"Outlier",""))</f>
        <v/>
      </c>
      <c r="Z548" t="str">
        <f>P548&amp;" vs "&amp;Q548</f>
        <v>Royal Challengers Bangalore vs Kolkata Knight Riders</v>
      </c>
    </row>
    <row r="549" spans="1:26" x14ac:dyDescent="0.25">
      <c r="A549">
        <v>607</v>
      </c>
      <c r="B549">
        <v>2016</v>
      </c>
      <c r="C549" s="5">
        <v>42493</v>
      </c>
      <c r="D549" t="s">
        <v>172</v>
      </c>
      <c r="E549" t="s">
        <v>23</v>
      </c>
      <c r="F549" t="s">
        <v>20</v>
      </c>
      <c r="G549" t="s">
        <v>20</v>
      </c>
      <c r="H549" t="s">
        <v>173</v>
      </c>
      <c r="I549" t="s">
        <v>174</v>
      </c>
      <c r="J549">
        <v>0</v>
      </c>
      <c r="K549" t="s">
        <v>20</v>
      </c>
      <c r="L549">
        <v>0</v>
      </c>
      <c r="M549">
        <v>8</v>
      </c>
      <c r="N549" t="s">
        <v>361</v>
      </c>
      <c r="O549" t="s">
        <v>116</v>
      </c>
      <c r="P549" t="str">
        <f>INDEX(Teams!$B:$B,MATCH(E549,Teams!$A:$A,0))</f>
        <v>Gujarat Lions</v>
      </c>
      <c r="Q549" t="str">
        <f>INDEX(Teams!$B:$B,MATCH(F549,Teams!$A:$A,0))</f>
        <v>Delhi Capitals</v>
      </c>
      <c r="R549" t="str">
        <f>INDEX(Teams!$B:$B,MATCH(G549,Teams!$A:$A,0))</f>
        <v>Delhi Capitals</v>
      </c>
      <c r="S549" t="str">
        <f>IF(K549="","No result",INDEX(Teams!$B:$B,MATCH(K549,Teams!$A:$A,0)))</f>
        <v>Delhi Capitals</v>
      </c>
      <c r="T549" t="str">
        <f>INDEX(Venues!$B:$B,MATCH(O549,Venues!$A:$A,0))</f>
        <v>Saurashtra Cricket Association Stadium</v>
      </c>
      <c r="U549" t="str">
        <f>INDEX(Venues!$C:$C,MATCH(O549,Venues!$A:$A,0))</f>
        <v>Rajkot</v>
      </c>
      <c r="V549" t="str">
        <f>IF(L549&gt;0,L549&amp;" runs",IF(M549&gt;0,M549&amp;" wickets","-"))</f>
        <v>8 wickets</v>
      </c>
      <c r="W549">
        <f>IF(G549=K549,1,0)</f>
        <v>1</v>
      </c>
      <c r="X549">
        <f>IF(L549&gt;0,L549,"")</f>
        <v/>
      </c>
      <c r="Y549">
        <f>IF(X549="","",IF(X549&gt;Stats!$B$15,"Outlier",""))</f>
        <v/>
      </c>
      <c r="Z549" t="str">
        <f>P549&amp;" vs "&amp;Q549</f>
        <v>Gujarat Lions vs Delhi Capitals</v>
      </c>
    </row>
    <row r="550" spans="1:26" x14ac:dyDescent="0.25">
      <c r="A550">
        <v>608</v>
      </c>
      <c r="B550">
        <v>2016</v>
      </c>
      <c r="C550" s="5">
        <v>42494</v>
      </c>
      <c r="D550" t="s">
        <v>172</v>
      </c>
      <c r="E550" t="s">
        <v>32</v>
      </c>
      <c r="F550" t="s">
        <v>26</v>
      </c>
      <c r="G550" t="s">
        <v>26</v>
      </c>
      <c r="H550" t="s">
        <v>173</v>
      </c>
      <c r="I550" t="s">
        <v>174</v>
      </c>
      <c r="J550">
        <v>0</v>
      </c>
      <c r="K550" t="s">
        <v>32</v>
      </c>
      <c r="L550">
        <v>7</v>
      </c>
      <c r="M550">
        <v>0</v>
      </c>
      <c r="N550" t="s">
        <v>344</v>
      </c>
      <c r="O550" t="s">
        <v>73</v>
      </c>
      <c r="P550" t="str">
        <f>INDEX(Teams!$B:$B,MATCH(E550,Teams!$A:$A,0))</f>
        <v>Kolkata Knight Riders</v>
      </c>
      <c r="Q550" t="str">
        <f>INDEX(Teams!$B:$B,MATCH(F550,Teams!$A:$A,0))</f>
        <v>Kings XI Punjab</v>
      </c>
      <c r="R550" t="str">
        <f>INDEX(Teams!$B:$B,MATCH(G550,Teams!$A:$A,0))</f>
        <v>Kings XI Punjab</v>
      </c>
      <c r="S550" t="str">
        <f>IF(K550="","No result",INDEX(Teams!$B:$B,MATCH(K550,Teams!$A:$A,0)))</f>
        <v>Kolkata Knight Riders</v>
      </c>
      <c r="T550" t="str">
        <f>INDEX(Venues!$B:$B,MATCH(O550,Venues!$A:$A,0))</f>
        <v>Eden Gardens</v>
      </c>
      <c r="U550" t="str">
        <f>INDEX(Venues!$C:$C,MATCH(O550,Venues!$A:$A,0))</f>
        <v>Kolkata</v>
      </c>
      <c r="V550" t="str">
        <f>IF(L550&gt;0,L550&amp;" runs",IF(M550&gt;0,M550&amp;" wickets","-"))</f>
        <v>7 runs</v>
      </c>
      <c r="W550">
        <f>IF(G550=K550,1,0)</f>
        <v>0</v>
      </c>
      <c r="X550">
        <f>IF(L550&gt;0,L550,"")</f>
        <v>7</v>
      </c>
      <c r="Y550">
        <f>IF(X550="","",IF(X550&gt;Stats!$B$15,"Outlier",""))</f>
        <v/>
      </c>
      <c r="Z550" t="str">
        <f>P550&amp;" vs "&amp;Q550</f>
        <v>Kolkata Knight Riders vs Kings XI Punjab</v>
      </c>
    </row>
    <row r="551" spans="1:26" x14ac:dyDescent="0.25">
      <c r="A551">
        <v>609</v>
      </c>
      <c r="B551">
        <v>2016</v>
      </c>
      <c r="C551" s="5">
        <v>42495</v>
      </c>
      <c r="D551" t="s">
        <v>172</v>
      </c>
      <c r="E551" t="s">
        <v>20</v>
      </c>
      <c r="F551" t="s">
        <v>44</v>
      </c>
      <c r="G551" t="s">
        <v>44</v>
      </c>
      <c r="H551" t="s">
        <v>173</v>
      </c>
      <c r="I551" t="s">
        <v>174</v>
      </c>
      <c r="J551">
        <v>0</v>
      </c>
      <c r="K551" t="s">
        <v>44</v>
      </c>
      <c r="L551">
        <v>0</v>
      </c>
      <c r="M551">
        <v>7</v>
      </c>
      <c r="N551" t="s">
        <v>298</v>
      </c>
      <c r="O551" t="s">
        <v>75</v>
      </c>
      <c r="P551" t="str">
        <f>INDEX(Teams!$B:$B,MATCH(E551,Teams!$A:$A,0))</f>
        <v>Delhi Capitals</v>
      </c>
      <c r="Q551" t="str">
        <f>INDEX(Teams!$B:$B,MATCH(F551,Teams!$A:$A,0))</f>
        <v>Rising Pune Supergiant</v>
      </c>
      <c r="R551" t="str">
        <f>INDEX(Teams!$B:$B,MATCH(G551,Teams!$A:$A,0))</f>
        <v>Rising Pune Supergiant</v>
      </c>
      <c r="S551" t="str">
        <f>IF(K551="","No result",INDEX(Teams!$B:$B,MATCH(K551,Teams!$A:$A,0)))</f>
        <v>Rising Pune Supergiant</v>
      </c>
      <c r="T551" t="str">
        <f>INDEX(Venues!$B:$B,MATCH(O551,Venues!$A:$A,0))</f>
        <v>Feroz Shah Kotla</v>
      </c>
      <c r="U551" t="str">
        <f>INDEX(Venues!$C:$C,MATCH(O551,Venues!$A:$A,0))</f>
        <v>Delhi</v>
      </c>
      <c r="V551" t="str">
        <f>IF(L551&gt;0,L551&amp;" runs",IF(M551&gt;0,M551&amp;" wickets","-"))</f>
        <v>7 wickets</v>
      </c>
      <c r="W551">
        <f>IF(G551=K551,1,0)</f>
        <v>1</v>
      </c>
      <c r="X551">
        <f>IF(L551&gt;0,L551,"")</f>
        <v/>
      </c>
      <c r="Y551">
        <f>IF(X551="","",IF(X551&gt;Stats!$B$15,"Outlier",""))</f>
        <v/>
      </c>
      <c r="Z551" t="str">
        <f>P551&amp;" vs "&amp;Q551</f>
        <v>Delhi Capitals vs Rising Pune Supergiant</v>
      </c>
    </row>
    <row r="552" spans="1:26" x14ac:dyDescent="0.25">
      <c r="A552">
        <v>610</v>
      </c>
      <c r="B552">
        <v>2016</v>
      </c>
      <c r="C552" s="5">
        <v>42496</v>
      </c>
      <c r="D552" t="s">
        <v>172</v>
      </c>
      <c r="E552" t="s">
        <v>23</v>
      </c>
      <c r="F552" t="s">
        <v>49</v>
      </c>
      <c r="G552" t="s">
        <v>49</v>
      </c>
      <c r="H552" t="s">
        <v>173</v>
      </c>
      <c r="I552" t="s">
        <v>174</v>
      </c>
      <c r="J552">
        <v>0</v>
      </c>
      <c r="K552" t="s">
        <v>49</v>
      </c>
      <c r="L552">
        <v>0</v>
      </c>
      <c r="M552">
        <v>5</v>
      </c>
      <c r="N552" t="s">
        <v>336</v>
      </c>
      <c r="O552" t="s">
        <v>111</v>
      </c>
      <c r="P552" t="str">
        <f>INDEX(Teams!$B:$B,MATCH(E552,Teams!$A:$A,0))</f>
        <v>Gujarat Lions</v>
      </c>
      <c r="Q552" t="str">
        <f>INDEX(Teams!$B:$B,MATCH(F552,Teams!$A:$A,0))</f>
        <v>Sunrisers Hyderabad</v>
      </c>
      <c r="R552" t="str">
        <f>INDEX(Teams!$B:$B,MATCH(G552,Teams!$A:$A,0))</f>
        <v>Sunrisers Hyderabad</v>
      </c>
      <c r="S552" t="str">
        <f>IF(K552="","No result",INDEX(Teams!$B:$B,MATCH(K552,Teams!$A:$A,0)))</f>
        <v>Sunrisers Hyderabad</v>
      </c>
      <c r="T552" t="str">
        <f>INDEX(Venues!$B:$B,MATCH(O552,Venues!$A:$A,0))</f>
        <v>Rajiv Gandhi International Stadium</v>
      </c>
      <c r="U552" t="str">
        <f>INDEX(Venues!$C:$C,MATCH(O552,Venues!$A:$A,0))</f>
        <v>Hyderabad</v>
      </c>
      <c r="V552" t="str">
        <f>IF(L552&gt;0,L552&amp;" runs",IF(M552&gt;0,M552&amp;" wickets","-"))</f>
        <v>5 wickets</v>
      </c>
      <c r="W552">
        <f>IF(G552=K552,1,0)</f>
        <v>1</v>
      </c>
      <c r="X552">
        <f>IF(L552&gt;0,L552,"")</f>
        <v/>
      </c>
      <c r="Y552">
        <f>IF(X552="","",IF(X552&gt;Stats!$B$15,"Outlier",""))</f>
        <v/>
      </c>
      <c r="Z552" t="str">
        <f>P552&amp;" vs "&amp;Q552</f>
        <v>Gujarat Lions vs Sunrisers Hyderabad</v>
      </c>
    </row>
    <row r="553" spans="1:26" x14ac:dyDescent="0.25">
      <c r="A553">
        <v>611</v>
      </c>
      <c r="B553">
        <v>2016</v>
      </c>
      <c r="C553" s="5">
        <v>42497</v>
      </c>
      <c r="D553" t="s">
        <v>172</v>
      </c>
      <c r="E553" t="s">
        <v>44</v>
      </c>
      <c r="F553" t="s">
        <v>46</v>
      </c>
      <c r="G553" t="s">
        <v>46</v>
      </c>
      <c r="H553" t="s">
        <v>173</v>
      </c>
      <c r="I553" t="s">
        <v>174</v>
      </c>
      <c r="J553">
        <v>0</v>
      </c>
      <c r="K553" t="s">
        <v>46</v>
      </c>
      <c r="L553">
        <v>0</v>
      </c>
      <c r="M553">
        <v>7</v>
      </c>
      <c r="N553" t="s">
        <v>282</v>
      </c>
      <c r="O553" t="s">
        <v>92</v>
      </c>
      <c r="P553" t="str">
        <f>INDEX(Teams!$B:$B,MATCH(E553,Teams!$A:$A,0))</f>
        <v>Rising Pune Supergiant</v>
      </c>
      <c r="Q553" t="str">
        <f>INDEX(Teams!$B:$B,MATCH(F553,Teams!$A:$A,0))</f>
        <v>Royal Challengers Bangalore</v>
      </c>
      <c r="R553" t="str">
        <f>INDEX(Teams!$B:$B,MATCH(G553,Teams!$A:$A,0))</f>
        <v>Royal Challengers Bangalore</v>
      </c>
      <c r="S553" t="str">
        <f>IF(K553="","No result",INDEX(Teams!$B:$B,MATCH(K553,Teams!$A:$A,0)))</f>
        <v>Royal Challengers Bangalore</v>
      </c>
      <c r="T553" t="str">
        <f>INDEX(Venues!$B:$B,MATCH(O553,Venues!$A:$A,0))</f>
        <v>M Chinnaswamy Stadium</v>
      </c>
      <c r="U553" t="str">
        <f>INDEX(Venues!$C:$C,MATCH(O553,Venues!$A:$A,0))</f>
        <v>Bangalore</v>
      </c>
      <c r="V553" t="str">
        <f>IF(L553&gt;0,L553&amp;" runs",IF(M553&gt;0,M553&amp;" wickets","-"))</f>
        <v>7 wickets</v>
      </c>
      <c r="W553">
        <f>IF(G553=K553,1,0)</f>
        <v>1</v>
      </c>
      <c r="X553">
        <f>IF(L553&gt;0,L553,"")</f>
        <v/>
      </c>
      <c r="Y553">
        <f>IF(X553="","",IF(X553&gt;Stats!$B$15,"Outlier",""))</f>
        <v/>
      </c>
      <c r="Z553" t="str">
        <f>P553&amp;" vs "&amp;Q553</f>
        <v>Rising Pune Supergiant vs Royal Challengers Bangalore</v>
      </c>
    </row>
    <row r="554" spans="1:26" x14ac:dyDescent="0.25">
      <c r="A554">
        <v>612</v>
      </c>
      <c r="B554">
        <v>2016</v>
      </c>
      <c r="C554" s="5">
        <v>42497</v>
      </c>
      <c r="D554" t="s">
        <v>172</v>
      </c>
      <c r="E554" t="s">
        <v>26</v>
      </c>
      <c r="F554" t="s">
        <v>20</v>
      </c>
      <c r="G554" t="s">
        <v>20</v>
      </c>
      <c r="H554" t="s">
        <v>173</v>
      </c>
      <c r="I554" t="s">
        <v>174</v>
      </c>
      <c r="J554">
        <v>0</v>
      </c>
      <c r="K554" t="s">
        <v>26</v>
      </c>
      <c r="L554">
        <v>9</v>
      </c>
      <c r="M554">
        <v>0</v>
      </c>
      <c r="N554" t="s">
        <v>362</v>
      </c>
      <c r="O554" t="s">
        <v>109</v>
      </c>
      <c r="P554" t="str">
        <f>INDEX(Teams!$B:$B,MATCH(E554,Teams!$A:$A,0))</f>
        <v>Kings XI Punjab</v>
      </c>
      <c r="Q554" t="str">
        <f>INDEX(Teams!$B:$B,MATCH(F554,Teams!$A:$A,0))</f>
        <v>Delhi Capitals</v>
      </c>
      <c r="R554" t="str">
        <f>INDEX(Teams!$B:$B,MATCH(G554,Teams!$A:$A,0))</f>
        <v>Delhi Capitals</v>
      </c>
      <c r="S554" t="str">
        <f>IF(K554="","No result",INDEX(Teams!$B:$B,MATCH(K554,Teams!$A:$A,0)))</f>
        <v>Kings XI Punjab</v>
      </c>
      <c r="T554" t="str">
        <f>INDEX(Venues!$B:$B,MATCH(O554,Venues!$A:$A,0))</f>
        <v>Punjab Cricket Association IS Bindra Stadium</v>
      </c>
      <c r="U554" t="str">
        <f>INDEX(Venues!$C:$C,MATCH(O554,Venues!$A:$A,0))</f>
        <v>Chandigarh</v>
      </c>
      <c r="V554" t="str">
        <f>IF(L554&gt;0,L554&amp;" runs",IF(M554&gt;0,M554&amp;" wickets","-"))</f>
        <v>9 runs</v>
      </c>
      <c r="W554">
        <f>IF(G554=K554,1,0)</f>
        <v>0</v>
      </c>
      <c r="X554">
        <f>IF(L554&gt;0,L554,"")</f>
        <v>9</v>
      </c>
      <c r="Y554">
        <f>IF(X554="","",IF(X554&gt;Stats!$B$15,"Outlier",""))</f>
        <v/>
      </c>
      <c r="Z554" t="str">
        <f>P554&amp;" vs "&amp;Q554</f>
        <v>Kings XI Punjab vs Delhi Capitals</v>
      </c>
    </row>
    <row r="555" spans="1:26" x14ac:dyDescent="0.25">
      <c r="A555">
        <v>613</v>
      </c>
      <c r="B555">
        <v>2016</v>
      </c>
      <c r="C555" s="5">
        <v>42498</v>
      </c>
      <c r="D555" t="s">
        <v>172</v>
      </c>
      <c r="E555" t="s">
        <v>49</v>
      </c>
      <c r="F555" t="s">
        <v>35</v>
      </c>
      <c r="G555" t="s">
        <v>35</v>
      </c>
      <c r="H555" t="s">
        <v>173</v>
      </c>
      <c r="I555" t="s">
        <v>174</v>
      </c>
      <c r="J555">
        <v>0</v>
      </c>
      <c r="K555" t="s">
        <v>49</v>
      </c>
      <c r="L555">
        <v>85</v>
      </c>
      <c r="M555">
        <v>0</v>
      </c>
      <c r="N555" t="s">
        <v>199</v>
      </c>
      <c r="O555" t="s">
        <v>67</v>
      </c>
      <c r="P555" t="str">
        <f>INDEX(Teams!$B:$B,MATCH(E555,Teams!$A:$A,0))</f>
        <v>Sunrisers Hyderabad</v>
      </c>
      <c r="Q555" t="str">
        <f>INDEX(Teams!$B:$B,MATCH(F555,Teams!$A:$A,0))</f>
        <v>Mumbai Indians</v>
      </c>
      <c r="R555" t="str">
        <f>INDEX(Teams!$B:$B,MATCH(G555,Teams!$A:$A,0))</f>
        <v>Mumbai Indians</v>
      </c>
      <c r="S555" t="str">
        <f>IF(K555="","No result",INDEX(Teams!$B:$B,MATCH(K555,Teams!$A:$A,0)))</f>
        <v>Sunrisers Hyderabad</v>
      </c>
      <c r="T555" t="str">
        <f>INDEX(Venues!$B:$B,MATCH(O555,Venues!$A:$A,0))</f>
        <v>Dr. Y.S. Rajasekhara Reddy ACA-VDCA Cricket Stadium</v>
      </c>
      <c r="U555" t="str">
        <f>INDEX(Venues!$C:$C,MATCH(O555,Venues!$A:$A,0))</f>
        <v>Visakhapatnam</v>
      </c>
      <c r="V555" t="str">
        <f>IF(L555&gt;0,L555&amp;" runs",IF(M555&gt;0,M555&amp;" wickets","-"))</f>
        <v>85 runs</v>
      </c>
      <c r="W555">
        <f>IF(G555=K555,1,0)</f>
        <v>0</v>
      </c>
      <c r="X555">
        <f>IF(L555&gt;0,L555,"")</f>
        <v>85</v>
      </c>
      <c r="Y555" t="str">
        <f>IF(X555="","",IF(X555&gt;Stats!$B$15,"Outlier",""))</f>
        <v>Outlier</v>
      </c>
      <c r="Z555" t="str">
        <f>P555&amp;" vs "&amp;Q555</f>
        <v>Sunrisers Hyderabad vs Mumbai Indians</v>
      </c>
    </row>
    <row r="556" spans="1:26" x14ac:dyDescent="0.25">
      <c r="A556">
        <v>614</v>
      </c>
      <c r="B556">
        <v>2016</v>
      </c>
      <c r="C556" s="5">
        <v>42498</v>
      </c>
      <c r="D556" t="s">
        <v>172</v>
      </c>
      <c r="E556" t="s">
        <v>32</v>
      </c>
      <c r="F556" t="s">
        <v>23</v>
      </c>
      <c r="G556" t="s">
        <v>23</v>
      </c>
      <c r="H556" t="s">
        <v>173</v>
      </c>
      <c r="I556" t="s">
        <v>174</v>
      </c>
      <c r="J556">
        <v>0</v>
      </c>
      <c r="K556" t="s">
        <v>23</v>
      </c>
      <c r="L556">
        <v>0</v>
      </c>
      <c r="M556">
        <v>5</v>
      </c>
      <c r="N556" t="s">
        <v>195</v>
      </c>
      <c r="O556" t="s">
        <v>73</v>
      </c>
      <c r="P556" t="str">
        <f>INDEX(Teams!$B:$B,MATCH(E556,Teams!$A:$A,0))</f>
        <v>Kolkata Knight Riders</v>
      </c>
      <c r="Q556" t="str">
        <f>INDEX(Teams!$B:$B,MATCH(F556,Teams!$A:$A,0))</f>
        <v>Gujarat Lions</v>
      </c>
      <c r="R556" t="str">
        <f>INDEX(Teams!$B:$B,MATCH(G556,Teams!$A:$A,0))</f>
        <v>Gujarat Lions</v>
      </c>
      <c r="S556" t="str">
        <f>IF(K556="","No result",INDEX(Teams!$B:$B,MATCH(K556,Teams!$A:$A,0)))</f>
        <v>Gujarat Lions</v>
      </c>
      <c r="T556" t="str">
        <f>INDEX(Venues!$B:$B,MATCH(O556,Venues!$A:$A,0))</f>
        <v>Eden Gardens</v>
      </c>
      <c r="U556" t="str">
        <f>INDEX(Venues!$C:$C,MATCH(O556,Venues!$A:$A,0))</f>
        <v>Kolkata</v>
      </c>
      <c r="V556" t="str">
        <f>IF(L556&gt;0,L556&amp;" runs",IF(M556&gt;0,M556&amp;" wickets","-"))</f>
        <v>5 wickets</v>
      </c>
      <c r="W556">
        <f>IF(G556=K556,1,0)</f>
        <v>1</v>
      </c>
      <c r="X556">
        <f>IF(L556&gt;0,L556,"")</f>
        <v/>
      </c>
      <c r="Y556">
        <f>IF(X556="","",IF(X556&gt;Stats!$B$15,"Outlier",""))</f>
        <v/>
      </c>
      <c r="Z556" t="str">
        <f>P556&amp;" vs "&amp;Q556</f>
        <v>Kolkata Knight Riders vs Gujarat Lions</v>
      </c>
    </row>
    <row r="557" spans="1:26" x14ac:dyDescent="0.25">
      <c r="A557">
        <v>615</v>
      </c>
      <c r="B557">
        <v>2016</v>
      </c>
      <c r="C557" s="5">
        <v>42499</v>
      </c>
      <c r="D557" t="s">
        <v>172</v>
      </c>
      <c r="E557" t="s">
        <v>46</v>
      </c>
      <c r="F557" t="s">
        <v>26</v>
      </c>
      <c r="G557" t="s">
        <v>26</v>
      </c>
      <c r="H557" t="s">
        <v>173</v>
      </c>
      <c r="I557" t="s">
        <v>174</v>
      </c>
      <c r="J557">
        <v>0</v>
      </c>
      <c r="K557" t="s">
        <v>46</v>
      </c>
      <c r="L557">
        <v>1</v>
      </c>
      <c r="M557">
        <v>0</v>
      </c>
      <c r="N557" t="s">
        <v>181</v>
      </c>
      <c r="O557" t="s">
        <v>109</v>
      </c>
      <c r="P557" t="str">
        <f>INDEX(Teams!$B:$B,MATCH(E557,Teams!$A:$A,0))</f>
        <v>Royal Challengers Bangalore</v>
      </c>
      <c r="Q557" t="str">
        <f>INDEX(Teams!$B:$B,MATCH(F557,Teams!$A:$A,0))</f>
        <v>Kings XI Punjab</v>
      </c>
      <c r="R557" t="str">
        <f>INDEX(Teams!$B:$B,MATCH(G557,Teams!$A:$A,0))</f>
        <v>Kings XI Punjab</v>
      </c>
      <c r="S557" t="str">
        <f>IF(K557="","No result",INDEX(Teams!$B:$B,MATCH(K557,Teams!$A:$A,0)))</f>
        <v>Royal Challengers Bangalore</v>
      </c>
      <c r="T557" t="str">
        <f>INDEX(Venues!$B:$B,MATCH(O557,Venues!$A:$A,0))</f>
        <v>Punjab Cricket Association IS Bindra Stadium</v>
      </c>
      <c r="U557" t="str">
        <f>INDEX(Venues!$C:$C,MATCH(O557,Venues!$A:$A,0))</f>
        <v>Chandigarh</v>
      </c>
      <c r="V557" t="str">
        <f>IF(L557&gt;0,L557&amp;" runs",IF(M557&gt;0,M557&amp;" wickets","-"))</f>
        <v>1 runs</v>
      </c>
      <c r="W557">
        <f>IF(G557=K557,1,0)</f>
        <v>0</v>
      </c>
      <c r="X557">
        <f>IF(L557&gt;0,L557,"")</f>
        <v>1</v>
      </c>
      <c r="Y557">
        <f>IF(X557="","",IF(X557&gt;Stats!$B$15,"Outlier",""))</f>
        <v/>
      </c>
      <c r="Z557" t="str">
        <f>P557&amp;" vs "&amp;Q557</f>
        <v>Royal Challengers Bangalore vs Kings XI Punjab</v>
      </c>
    </row>
    <row r="558" spans="1:26" x14ac:dyDescent="0.25">
      <c r="A558">
        <v>616</v>
      </c>
      <c r="B558">
        <v>2016</v>
      </c>
      <c r="C558" s="5">
        <v>42500</v>
      </c>
      <c r="D558" t="s">
        <v>172</v>
      </c>
      <c r="E558" t="s">
        <v>49</v>
      </c>
      <c r="F558" t="s">
        <v>44</v>
      </c>
      <c r="G558" t="s">
        <v>49</v>
      </c>
      <c r="H558" t="s">
        <v>176</v>
      </c>
      <c r="I558" t="s">
        <v>174</v>
      </c>
      <c r="J558">
        <v>0</v>
      </c>
      <c r="K558" t="s">
        <v>49</v>
      </c>
      <c r="L558">
        <v>4</v>
      </c>
      <c r="M558">
        <v>0</v>
      </c>
      <c r="N558" t="s">
        <v>363</v>
      </c>
      <c r="O558" t="s">
        <v>67</v>
      </c>
      <c r="P558" t="str">
        <f>INDEX(Teams!$B:$B,MATCH(E558,Teams!$A:$A,0))</f>
        <v>Sunrisers Hyderabad</v>
      </c>
      <c r="Q558" t="str">
        <f>INDEX(Teams!$B:$B,MATCH(F558,Teams!$A:$A,0))</f>
        <v>Rising Pune Supergiant</v>
      </c>
      <c r="R558" t="str">
        <f>INDEX(Teams!$B:$B,MATCH(G558,Teams!$A:$A,0))</f>
        <v>Sunrisers Hyderabad</v>
      </c>
      <c r="S558" t="str">
        <f>IF(K558="","No result",INDEX(Teams!$B:$B,MATCH(K558,Teams!$A:$A,0)))</f>
        <v>Sunrisers Hyderabad</v>
      </c>
      <c r="T558" t="str">
        <f>INDEX(Venues!$B:$B,MATCH(O558,Venues!$A:$A,0))</f>
        <v>Dr. Y.S. Rajasekhara Reddy ACA-VDCA Cricket Stadium</v>
      </c>
      <c r="U558" t="str">
        <f>INDEX(Venues!$C:$C,MATCH(O558,Venues!$A:$A,0))</f>
        <v>Visakhapatnam</v>
      </c>
      <c r="V558" t="str">
        <f>IF(L558&gt;0,L558&amp;" runs",IF(M558&gt;0,M558&amp;" wickets","-"))</f>
        <v>4 runs</v>
      </c>
      <c r="W558">
        <f>IF(G558=K558,1,0)</f>
        <v>1</v>
      </c>
      <c r="X558">
        <f>IF(L558&gt;0,L558,"")</f>
        <v>4</v>
      </c>
      <c r="Y558">
        <f>IF(X558="","",IF(X558&gt;Stats!$B$15,"Outlier",""))</f>
        <v/>
      </c>
      <c r="Z558" t="str">
        <f>P558&amp;" vs "&amp;Q558</f>
        <v>Sunrisers Hyderabad vs Rising Pune Supergiant</v>
      </c>
    </row>
    <row r="559" spans="1:26" x14ac:dyDescent="0.25">
      <c r="A559">
        <v>617</v>
      </c>
      <c r="B559">
        <v>2016</v>
      </c>
      <c r="C559" s="5">
        <v>42501</v>
      </c>
      <c r="D559" t="s">
        <v>172</v>
      </c>
      <c r="E559" t="s">
        <v>46</v>
      </c>
      <c r="F559" t="s">
        <v>35</v>
      </c>
      <c r="G559" t="s">
        <v>35</v>
      </c>
      <c r="H559" t="s">
        <v>173</v>
      </c>
      <c r="I559" t="s">
        <v>174</v>
      </c>
      <c r="J559">
        <v>0</v>
      </c>
      <c r="K559" t="s">
        <v>35</v>
      </c>
      <c r="L559">
        <v>0</v>
      </c>
      <c r="M559">
        <v>6</v>
      </c>
      <c r="N559" t="s">
        <v>364</v>
      </c>
      <c r="O559" t="s">
        <v>92</v>
      </c>
      <c r="P559" t="str">
        <f>INDEX(Teams!$B:$B,MATCH(E559,Teams!$A:$A,0))</f>
        <v>Royal Challengers Bangalore</v>
      </c>
      <c r="Q559" t="str">
        <f>INDEX(Teams!$B:$B,MATCH(F559,Teams!$A:$A,0))</f>
        <v>Mumbai Indians</v>
      </c>
      <c r="R559" t="str">
        <f>INDEX(Teams!$B:$B,MATCH(G559,Teams!$A:$A,0))</f>
        <v>Mumbai Indians</v>
      </c>
      <c r="S559" t="str">
        <f>IF(K559="","No result",INDEX(Teams!$B:$B,MATCH(K559,Teams!$A:$A,0)))</f>
        <v>Mumbai Indians</v>
      </c>
      <c r="T559" t="str">
        <f>INDEX(Venues!$B:$B,MATCH(O559,Venues!$A:$A,0))</f>
        <v>M Chinnaswamy Stadium</v>
      </c>
      <c r="U559" t="str">
        <f>INDEX(Venues!$C:$C,MATCH(O559,Venues!$A:$A,0))</f>
        <v>Bangalore</v>
      </c>
      <c r="V559" t="str">
        <f>IF(L559&gt;0,L559&amp;" runs",IF(M559&gt;0,M559&amp;" wickets","-"))</f>
        <v>6 wickets</v>
      </c>
      <c r="W559">
        <f>IF(G559=K559,1,0)</f>
        <v>1</v>
      </c>
      <c r="X559">
        <f>IF(L559&gt;0,L559,"")</f>
        <v/>
      </c>
      <c r="Y559">
        <f>IF(X559="","",IF(X559&gt;Stats!$B$15,"Outlier",""))</f>
        <v/>
      </c>
      <c r="Z559" t="str">
        <f>P559&amp;" vs "&amp;Q559</f>
        <v>Royal Challengers Bangalore vs Mumbai Indians</v>
      </c>
    </row>
    <row r="560" spans="1:26" x14ac:dyDescent="0.25">
      <c r="A560">
        <v>618</v>
      </c>
      <c r="B560">
        <v>2016</v>
      </c>
      <c r="C560" s="5">
        <v>42502</v>
      </c>
      <c r="D560" t="s">
        <v>172</v>
      </c>
      <c r="E560" t="s">
        <v>49</v>
      </c>
      <c r="F560" t="s">
        <v>20</v>
      </c>
      <c r="G560" t="s">
        <v>20</v>
      </c>
      <c r="H560" t="s">
        <v>173</v>
      </c>
      <c r="I560" t="s">
        <v>174</v>
      </c>
      <c r="J560">
        <v>0</v>
      </c>
      <c r="K560" t="s">
        <v>20</v>
      </c>
      <c r="L560">
        <v>0</v>
      </c>
      <c r="M560">
        <v>7</v>
      </c>
      <c r="N560" t="s">
        <v>359</v>
      </c>
      <c r="O560" t="s">
        <v>111</v>
      </c>
      <c r="P560" t="str">
        <f>INDEX(Teams!$B:$B,MATCH(E560,Teams!$A:$A,0))</f>
        <v>Sunrisers Hyderabad</v>
      </c>
      <c r="Q560" t="str">
        <f>INDEX(Teams!$B:$B,MATCH(F560,Teams!$A:$A,0))</f>
        <v>Delhi Capitals</v>
      </c>
      <c r="R560" t="str">
        <f>INDEX(Teams!$B:$B,MATCH(G560,Teams!$A:$A,0))</f>
        <v>Delhi Capitals</v>
      </c>
      <c r="S560" t="str">
        <f>IF(K560="","No result",INDEX(Teams!$B:$B,MATCH(K560,Teams!$A:$A,0)))</f>
        <v>Delhi Capitals</v>
      </c>
      <c r="T560" t="str">
        <f>INDEX(Venues!$B:$B,MATCH(O560,Venues!$A:$A,0))</f>
        <v>Rajiv Gandhi International Stadium</v>
      </c>
      <c r="U560" t="str">
        <f>INDEX(Venues!$C:$C,MATCH(O560,Venues!$A:$A,0))</f>
        <v>Hyderabad</v>
      </c>
      <c r="V560" t="str">
        <f>IF(L560&gt;0,L560&amp;" runs",IF(M560&gt;0,M560&amp;" wickets","-"))</f>
        <v>7 wickets</v>
      </c>
      <c r="W560">
        <f>IF(G560=K560,1,0)</f>
        <v>1</v>
      </c>
      <c r="X560">
        <f>IF(L560&gt;0,L560,"")</f>
        <v/>
      </c>
      <c r="Y560">
        <f>IF(X560="","",IF(X560&gt;Stats!$B$15,"Outlier",""))</f>
        <v/>
      </c>
      <c r="Z560" t="str">
        <f>P560&amp;" vs "&amp;Q560</f>
        <v>Sunrisers Hyderabad vs Delhi Capitals</v>
      </c>
    </row>
    <row r="561" spans="1:26" x14ac:dyDescent="0.25">
      <c r="A561">
        <v>619</v>
      </c>
      <c r="B561">
        <v>2016</v>
      </c>
      <c r="C561" s="5">
        <v>42503</v>
      </c>
      <c r="D561" t="s">
        <v>172</v>
      </c>
      <c r="E561" t="s">
        <v>35</v>
      </c>
      <c r="F561" t="s">
        <v>26</v>
      </c>
      <c r="G561" t="s">
        <v>35</v>
      </c>
      <c r="H561" t="s">
        <v>176</v>
      </c>
      <c r="I561" t="s">
        <v>174</v>
      </c>
      <c r="J561">
        <v>0</v>
      </c>
      <c r="K561" t="s">
        <v>26</v>
      </c>
      <c r="L561">
        <v>0</v>
      </c>
      <c r="M561">
        <v>7</v>
      </c>
      <c r="N561" t="s">
        <v>362</v>
      </c>
      <c r="O561" t="s">
        <v>67</v>
      </c>
      <c r="P561" t="str">
        <f>INDEX(Teams!$B:$B,MATCH(E561,Teams!$A:$A,0))</f>
        <v>Mumbai Indians</v>
      </c>
      <c r="Q561" t="str">
        <f>INDEX(Teams!$B:$B,MATCH(F561,Teams!$A:$A,0))</f>
        <v>Kings XI Punjab</v>
      </c>
      <c r="R561" t="str">
        <f>INDEX(Teams!$B:$B,MATCH(G561,Teams!$A:$A,0))</f>
        <v>Mumbai Indians</v>
      </c>
      <c r="S561" t="str">
        <f>IF(K561="","No result",INDEX(Teams!$B:$B,MATCH(K561,Teams!$A:$A,0)))</f>
        <v>Kings XI Punjab</v>
      </c>
      <c r="T561" t="str">
        <f>INDEX(Venues!$B:$B,MATCH(O561,Venues!$A:$A,0))</f>
        <v>Dr. Y.S. Rajasekhara Reddy ACA-VDCA Cricket Stadium</v>
      </c>
      <c r="U561" t="str">
        <f>INDEX(Venues!$C:$C,MATCH(O561,Venues!$A:$A,0))</f>
        <v>Visakhapatnam</v>
      </c>
      <c r="V561" t="str">
        <f>IF(L561&gt;0,L561&amp;" runs",IF(M561&gt;0,M561&amp;" wickets","-"))</f>
        <v>7 wickets</v>
      </c>
      <c r="W561">
        <f>IF(G561=K561,1,0)</f>
        <v>0</v>
      </c>
      <c r="X561">
        <f>IF(L561&gt;0,L561,"")</f>
        <v/>
      </c>
      <c r="Y561">
        <f>IF(X561="","",IF(X561&gt;Stats!$B$15,"Outlier",""))</f>
        <v/>
      </c>
      <c r="Z561" t="str">
        <f>P561&amp;" vs "&amp;Q561</f>
        <v>Mumbai Indians vs Kings XI Punjab</v>
      </c>
    </row>
    <row r="562" spans="1:26" x14ac:dyDescent="0.25">
      <c r="A562">
        <v>620</v>
      </c>
      <c r="B562">
        <v>2016</v>
      </c>
      <c r="C562" s="5">
        <v>42504</v>
      </c>
      <c r="D562" t="s">
        <v>172</v>
      </c>
      <c r="E562" t="s">
        <v>46</v>
      </c>
      <c r="F562" t="s">
        <v>23</v>
      </c>
      <c r="G562" t="s">
        <v>23</v>
      </c>
      <c r="H562" t="s">
        <v>173</v>
      </c>
      <c r="I562" t="s">
        <v>174</v>
      </c>
      <c r="J562">
        <v>0</v>
      </c>
      <c r="K562" t="s">
        <v>46</v>
      </c>
      <c r="L562">
        <v>144</v>
      </c>
      <c r="M562">
        <v>0</v>
      </c>
      <c r="N562" t="s">
        <v>223</v>
      </c>
      <c r="O562" t="s">
        <v>92</v>
      </c>
      <c r="P562" t="str">
        <f>INDEX(Teams!$B:$B,MATCH(E562,Teams!$A:$A,0))</f>
        <v>Royal Challengers Bangalore</v>
      </c>
      <c r="Q562" t="str">
        <f>INDEX(Teams!$B:$B,MATCH(F562,Teams!$A:$A,0))</f>
        <v>Gujarat Lions</v>
      </c>
      <c r="R562" t="str">
        <f>INDEX(Teams!$B:$B,MATCH(G562,Teams!$A:$A,0))</f>
        <v>Gujarat Lions</v>
      </c>
      <c r="S562" t="str">
        <f>IF(K562="","No result",INDEX(Teams!$B:$B,MATCH(K562,Teams!$A:$A,0)))</f>
        <v>Royal Challengers Bangalore</v>
      </c>
      <c r="T562" t="str">
        <f>INDEX(Venues!$B:$B,MATCH(O562,Venues!$A:$A,0))</f>
        <v>M Chinnaswamy Stadium</v>
      </c>
      <c r="U562" t="str">
        <f>INDEX(Venues!$C:$C,MATCH(O562,Venues!$A:$A,0))</f>
        <v>Bangalore</v>
      </c>
      <c r="V562" t="str">
        <f>IF(L562&gt;0,L562&amp;" runs",IF(M562&gt;0,M562&amp;" wickets","-"))</f>
        <v>144 runs</v>
      </c>
      <c r="W562">
        <f>IF(G562=K562,1,0)</f>
        <v>0</v>
      </c>
      <c r="X562">
        <f>IF(L562&gt;0,L562,"")</f>
        <v>144</v>
      </c>
      <c r="Y562" t="str">
        <f>IF(X562="","",IF(X562&gt;Stats!$B$15,"Outlier",""))</f>
        <v>Outlier</v>
      </c>
      <c r="Z562" t="str">
        <f>P562&amp;" vs "&amp;Q562</f>
        <v>Royal Challengers Bangalore vs Gujarat Lions</v>
      </c>
    </row>
    <row r="563" spans="1:26" x14ac:dyDescent="0.25">
      <c r="A563">
        <v>621</v>
      </c>
      <c r="B563">
        <v>2016</v>
      </c>
      <c r="C563" s="5">
        <v>42504</v>
      </c>
      <c r="D563" t="s">
        <v>172</v>
      </c>
      <c r="E563" t="s">
        <v>44</v>
      </c>
      <c r="F563" t="s">
        <v>32</v>
      </c>
      <c r="G563" t="s">
        <v>44</v>
      </c>
      <c r="H563" t="s">
        <v>176</v>
      </c>
      <c r="I563" t="s">
        <v>174</v>
      </c>
      <c r="J563">
        <v>1</v>
      </c>
      <c r="K563" t="s">
        <v>32</v>
      </c>
      <c r="L563">
        <v>0</v>
      </c>
      <c r="M563">
        <v>8</v>
      </c>
      <c r="N563" t="s">
        <v>184</v>
      </c>
      <c r="O563" t="s">
        <v>73</v>
      </c>
      <c r="P563" t="str">
        <f>INDEX(Teams!$B:$B,MATCH(E563,Teams!$A:$A,0))</f>
        <v>Rising Pune Supergiant</v>
      </c>
      <c r="Q563" t="str">
        <f>INDEX(Teams!$B:$B,MATCH(F563,Teams!$A:$A,0))</f>
        <v>Kolkata Knight Riders</v>
      </c>
      <c r="R563" t="str">
        <f>INDEX(Teams!$B:$B,MATCH(G563,Teams!$A:$A,0))</f>
        <v>Rising Pune Supergiant</v>
      </c>
      <c r="S563" t="str">
        <f>IF(K563="","No result",INDEX(Teams!$B:$B,MATCH(K563,Teams!$A:$A,0)))</f>
        <v>Kolkata Knight Riders</v>
      </c>
      <c r="T563" t="str">
        <f>INDEX(Venues!$B:$B,MATCH(O563,Venues!$A:$A,0))</f>
        <v>Eden Gardens</v>
      </c>
      <c r="U563" t="str">
        <f>INDEX(Venues!$C:$C,MATCH(O563,Venues!$A:$A,0))</f>
        <v>Kolkata</v>
      </c>
      <c r="V563" t="str">
        <f>IF(L563&gt;0,L563&amp;" runs",IF(M563&gt;0,M563&amp;" wickets","-"))</f>
        <v>8 wickets</v>
      </c>
      <c r="W563">
        <f>IF(G563=K563,1,0)</f>
        <v>0</v>
      </c>
      <c r="X563">
        <f>IF(L563&gt;0,L563,"")</f>
        <v/>
      </c>
      <c r="Y563">
        <f>IF(X563="","",IF(X563&gt;Stats!$B$15,"Outlier",""))</f>
        <v/>
      </c>
      <c r="Z563" t="str">
        <f>P563&amp;" vs "&amp;Q563</f>
        <v>Rising Pune Supergiant vs Kolkata Knight Riders</v>
      </c>
    </row>
    <row r="564" spans="1:26" x14ac:dyDescent="0.25">
      <c r="A564">
        <v>622</v>
      </c>
      <c r="B564">
        <v>2016</v>
      </c>
      <c r="C564" s="5">
        <v>42505</v>
      </c>
      <c r="D564" t="s">
        <v>172</v>
      </c>
      <c r="E564" t="s">
        <v>26</v>
      </c>
      <c r="F564" t="s">
        <v>49</v>
      </c>
      <c r="G564" t="s">
        <v>26</v>
      </c>
      <c r="H564" t="s">
        <v>176</v>
      </c>
      <c r="I564" t="s">
        <v>174</v>
      </c>
      <c r="J564">
        <v>0</v>
      </c>
      <c r="K564" t="s">
        <v>49</v>
      </c>
      <c r="L564">
        <v>0</v>
      </c>
      <c r="M564">
        <v>7</v>
      </c>
      <c r="N564" t="s">
        <v>365</v>
      </c>
      <c r="O564" t="s">
        <v>109</v>
      </c>
      <c r="P564" t="str">
        <f>INDEX(Teams!$B:$B,MATCH(E564,Teams!$A:$A,0))</f>
        <v>Kings XI Punjab</v>
      </c>
      <c r="Q564" t="str">
        <f>INDEX(Teams!$B:$B,MATCH(F564,Teams!$A:$A,0))</f>
        <v>Sunrisers Hyderabad</v>
      </c>
      <c r="R564" t="str">
        <f>INDEX(Teams!$B:$B,MATCH(G564,Teams!$A:$A,0))</f>
        <v>Kings XI Punjab</v>
      </c>
      <c r="S564" t="str">
        <f>IF(K564="","No result",INDEX(Teams!$B:$B,MATCH(K564,Teams!$A:$A,0)))</f>
        <v>Sunrisers Hyderabad</v>
      </c>
      <c r="T564" t="str">
        <f>INDEX(Venues!$B:$B,MATCH(O564,Venues!$A:$A,0))</f>
        <v>Punjab Cricket Association IS Bindra Stadium</v>
      </c>
      <c r="U564" t="str">
        <f>INDEX(Venues!$C:$C,MATCH(O564,Venues!$A:$A,0))</f>
        <v>Chandigarh</v>
      </c>
      <c r="V564" t="str">
        <f>IF(L564&gt;0,L564&amp;" runs",IF(M564&gt;0,M564&amp;" wickets","-"))</f>
        <v>7 wickets</v>
      </c>
      <c r="W564">
        <f>IF(G564=K564,1,0)</f>
        <v>0</v>
      </c>
      <c r="X564">
        <f>IF(L564&gt;0,L564,"")</f>
        <v/>
      </c>
      <c r="Y564">
        <f>IF(X564="","",IF(X564&gt;Stats!$B$15,"Outlier",""))</f>
        <v/>
      </c>
      <c r="Z564" t="str">
        <f>P564&amp;" vs "&amp;Q564</f>
        <v>Kings XI Punjab vs Sunrisers Hyderabad</v>
      </c>
    </row>
    <row r="565" spans="1:26" x14ac:dyDescent="0.25">
      <c r="A565">
        <v>623</v>
      </c>
      <c r="B565">
        <v>2016</v>
      </c>
      <c r="C565" s="5">
        <v>42505</v>
      </c>
      <c r="D565" t="s">
        <v>172</v>
      </c>
      <c r="E565" t="s">
        <v>35</v>
      </c>
      <c r="F565" t="s">
        <v>20</v>
      </c>
      <c r="G565" t="s">
        <v>20</v>
      </c>
      <c r="H565" t="s">
        <v>173</v>
      </c>
      <c r="I565" t="s">
        <v>174</v>
      </c>
      <c r="J565">
        <v>0</v>
      </c>
      <c r="K565" t="s">
        <v>35</v>
      </c>
      <c r="L565">
        <v>80</v>
      </c>
      <c r="M565">
        <v>0</v>
      </c>
      <c r="N565" t="s">
        <v>364</v>
      </c>
      <c r="O565" t="s">
        <v>67</v>
      </c>
      <c r="P565" t="str">
        <f>INDEX(Teams!$B:$B,MATCH(E565,Teams!$A:$A,0))</f>
        <v>Mumbai Indians</v>
      </c>
      <c r="Q565" t="str">
        <f>INDEX(Teams!$B:$B,MATCH(F565,Teams!$A:$A,0))</f>
        <v>Delhi Capitals</v>
      </c>
      <c r="R565" t="str">
        <f>INDEX(Teams!$B:$B,MATCH(G565,Teams!$A:$A,0))</f>
        <v>Delhi Capitals</v>
      </c>
      <c r="S565" t="str">
        <f>IF(K565="","No result",INDEX(Teams!$B:$B,MATCH(K565,Teams!$A:$A,0)))</f>
        <v>Mumbai Indians</v>
      </c>
      <c r="T565" t="str">
        <f>INDEX(Venues!$B:$B,MATCH(O565,Venues!$A:$A,0))</f>
        <v>Dr. Y.S. Rajasekhara Reddy ACA-VDCA Cricket Stadium</v>
      </c>
      <c r="U565" t="str">
        <f>INDEX(Venues!$C:$C,MATCH(O565,Venues!$A:$A,0))</f>
        <v>Visakhapatnam</v>
      </c>
      <c r="V565" t="str">
        <f>IF(L565&gt;0,L565&amp;" runs",IF(M565&gt;0,M565&amp;" wickets","-"))</f>
        <v>80 runs</v>
      </c>
      <c r="W565">
        <f>IF(G565=K565,1,0)</f>
        <v>0</v>
      </c>
      <c r="X565">
        <f>IF(L565&gt;0,L565,"")</f>
        <v>80</v>
      </c>
      <c r="Y565">
        <f>IF(X565="","",IF(X565&gt;Stats!$B$15,"Outlier",""))</f>
        <v/>
      </c>
      <c r="Z565" t="str">
        <f>P565&amp;" vs "&amp;Q565</f>
        <v>Mumbai Indians vs Delhi Capitals</v>
      </c>
    </row>
    <row r="566" spans="1:26" x14ac:dyDescent="0.25">
      <c r="A566">
        <v>624</v>
      </c>
      <c r="B566">
        <v>2016</v>
      </c>
      <c r="C566" s="5">
        <v>42506</v>
      </c>
      <c r="D566" t="s">
        <v>172</v>
      </c>
      <c r="E566" t="s">
        <v>32</v>
      </c>
      <c r="F566" t="s">
        <v>46</v>
      </c>
      <c r="G566" t="s">
        <v>46</v>
      </c>
      <c r="H566" t="s">
        <v>173</v>
      </c>
      <c r="I566" t="s">
        <v>174</v>
      </c>
      <c r="J566">
        <v>0</v>
      </c>
      <c r="K566" t="s">
        <v>46</v>
      </c>
      <c r="L566">
        <v>0</v>
      </c>
      <c r="M566">
        <v>9</v>
      </c>
      <c r="N566" t="s">
        <v>282</v>
      </c>
      <c r="O566" t="s">
        <v>73</v>
      </c>
      <c r="P566" t="str">
        <f>INDEX(Teams!$B:$B,MATCH(E566,Teams!$A:$A,0))</f>
        <v>Kolkata Knight Riders</v>
      </c>
      <c r="Q566" t="str">
        <f>INDEX(Teams!$B:$B,MATCH(F566,Teams!$A:$A,0))</f>
        <v>Royal Challengers Bangalore</v>
      </c>
      <c r="R566" t="str">
        <f>INDEX(Teams!$B:$B,MATCH(G566,Teams!$A:$A,0))</f>
        <v>Royal Challengers Bangalore</v>
      </c>
      <c r="S566" t="str">
        <f>IF(K566="","No result",INDEX(Teams!$B:$B,MATCH(K566,Teams!$A:$A,0)))</f>
        <v>Royal Challengers Bangalore</v>
      </c>
      <c r="T566" t="str">
        <f>INDEX(Venues!$B:$B,MATCH(O566,Venues!$A:$A,0))</f>
        <v>Eden Gardens</v>
      </c>
      <c r="U566" t="str">
        <f>INDEX(Venues!$C:$C,MATCH(O566,Venues!$A:$A,0))</f>
        <v>Kolkata</v>
      </c>
      <c r="V566" t="str">
        <f>IF(L566&gt;0,L566&amp;" runs",IF(M566&gt;0,M566&amp;" wickets","-"))</f>
        <v>9 wickets</v>
      </c>
      <c r="W566">
        <f>IF(G566=K566,1,0)</f>
        <v>1</v>
      </c>
      <c r="X566">
        <f>IF(L566&gt;0,L566,"")</f>
        <v/>
      </c>
      <c r="Y566">
        <f>IF(X566="","",IF(X566&gt;Stats!$B$15,"Outlier",""))</f>
        <v/>
      </c>
      <c r="Z566" t="str">
        <f>P566&amp;" vs "&amp;Q566</f>
        <v>Kolkata Knight Riders vs Royal Challengers Bangalore</v>
      </c>
    </row>
    <row r="567" spans="1:26" x14ac:dyDescent="0.25">
      <c r="A567">
        <v>625</v>
      </c>
      <c r="B567">
        <v>2016</v>
      </c>
      <c r="C567" s="5">
        <v>42507</v>
      </c>
      <c r="D567" t="s">
        <v>172</v>
      </c>
      <c r="E567" t="s">
        <v>20</v>
      </c>
      <c r="F567" t="s">
        <v>44</v>
      </c>
      <c r="G567" t="s">
        <v>44</v>
      </c>
      <c r="H567" t="s">
        <v>173</v>
      </c>
      <c r="I567" t="s">
        <v>174</v>
      </c>
      <c r="J567">
        <v>1</v>
      </c>
      <c r="K567" t="s">
        <v>44</v>
      </c>
      <c r="L567">
        <v>19</v>
      </c>
      <c r="M567">
        <v>0</v>
      </c>
      <c r="N567" t="s">
        <v>358</v>
      </c>
      <c r="O567" t="s">
        <v>67</v>
      </c>
      <c r="P567" t="str">
        <f>INDEX(Teams!$B:$B,MATCH(E567,Teams!$A:$A,0))</f>
        <v>Delhi Capitals</v>
      </c>
      <c r="Q567" t="str">
        <f>INDEX(Teams!$B:$B,MATCH(F567,Teams!$A:$A,0))</f>
        <v>Rising Pune Supergiant</v>
      </c>
      <c r="R567" t="str">
        <f>INDEX(Teams!$B:$B,MATCH(G567,Teams!$A:$A,0))</f>
        <v>Rising Pune Supergiant</v>
      </c>
      <c r="S567" t="str">
        <f>IF(K567="","No result",INDEX(Teams!$B:$B,MATCH(K567,Teams!$A:$A,0)))</f>
        <v>Rising Pune Supergiant</v>
      </c>
      <c r="T567" t="str">
        <f>INDEX(Venues!$B:$B,MATCH(O567,Venues!$A:$A,0))</f>
        <v>Dr. Y.S. Rajasekhara Reddy ACA-VDCA Cricket Stadium</v>
      </c>
      <c r="U567" t="str">
        <f>INDEX(Venues!$C:$C,MATCH(O567,Venues!$A:$A,0))</f>
        <v>Visakhapatnam</v>
      </c>
      <c r="V567" t="str">
        <f>IF(L567&gt;0,L567&amp;" runs",IF(M567&gt;0,M567&amp;" wickets","-"))</f>
        <v>19 runs</v>
      </c>
      <c r="W567">
        <f>IF(G567=K567,1,0)</f>
        <v>1</v>
      </c>
      <c r="X567">
        <f>IF(L567&gt;0,L567,"")</f>
        <v>19</v>
      </c>
      <c r="Y567">
        <f>IF(X567="","",IF(X567&gt;Stats!$B$15,"Outlier",""))</f>
        <v/>
      </c>
      <c r="Z567" t="str">
        <f>P567&amp;" vs "&amp;Q567</f>
        <v>Delhi Capitals vs Rising Pune Supergiant</v>
      </c>
    </row>
    <row r="568" spans="1:26" x14ac:dyDescent="0.25">
      <c r="A568">
        <v>626</v>
      </c>
      <c r="B568">
        <v>2016</v>
      </c>
      <c r="C568" s="5">
        <v>42508</v>
      </c>
      <c r="D568" t="s">
        <v>172</v>
      </c>
      <c r="E568" t="s">
        <v>46</v>
      </c>
      <c r="F568" t="s">
        <v>26</v>
      </c>
      <c r="G568" t="s">
        <v>26</v>
      </c>
      <c r="H568" t="s">
        <v>173</v>
      </c>
      <c r="I568" t="s">
        <v>174</v>
      </c>
      <c r="J568">
        <v>1</v>
      </c>
      <c r="K568" t="s">
        <v>46</v>
      </c>
      <c r="L568">
        <v>82</v>
      </c>
      <c r="M568">
        <v>0</v>
      </c>
      <c r="N568" t="s">
        <v>282</v>
      </c>
      <c r="O568" t="s">
        <v>92</v>
      </c>
      <c r="P568" t="str">
        <f>INDEX(Teams!$B:$B,MATCH(E568,Teams!$A:$A,0))</f>
        <v>Royal Challengers Bangalore</v>
      </c>
      <c r="Q568" t="str">
        <f>INDEX(Teams!$B:$B,MATCH(F568,Teams!$A:$A,0))</f>
        <v>Kings XI Punjab</v>
      </c>
      <c r="R568" t="str">
        <f>INDEX(Teams!$B:$B,MATCH(G568,Teams!$A:$A,0))</f>
        <v>Kings XI Punjab</v>
      </c>
      <c r="S568" t="str">
        <f>IF(K568="","No result",INDEX(Teams!$B:$B,MATCH(K568,Teams!$A:$A,0)))</f>
        <v>Royal Challengers Bangalore</v>
      </c>
      <c r="T568" t="str">
        <f>INDEX(Venues!$B:$B,MATCH(O568,Venues!$A:$A,0))</f>
        <v>M Chinnaswamy Stadium</v>
      </c>
      <c r="U568" t="str">
        <f>INDEX(Venues!$C:$C,MATCH(O568,Venues!$A:$A,0))</f>
        <v>Bangalore</v>
      </c>
      <c r="V568" t="str">
        <f>IF(L568&gt;0,L568&amp;" runs",IF(M568&gt;0,M568&amp;" wickets","-"))</f>
        <v>82 runs</v>
      </c>
      <c r="W568">
        <f>IF(G568=K568,1,0)</f>
        <v>0</v>
      </c>
      <c r="X568">
        <f>IF(L568&gt;0,L568,"")</f>
        <v>82</v>
      </c>
      <c r="Y568" t="str">
        <f>IF(X568="","",IF(X568&gt;Stats!$B$15,"Outlier",""))</f>
        <v>Outlier</v>
      </c>
      <c r="Z568" t="str">
        <f>P568&amp;" vs "&amp;Q568</f>
        <v>Royal Challengers Bangalore vs Kings XI Punjab</v>
      </c>
    </row>
    <row r="569" spans="1:26" x14ac:dyDescent="0.25">
      <c r="A569">
        <v>627</v>
      </c>
      <c r="B569">
        <v>2016</v>
      </c>
      <c r="C569" s="5">
        <v>42509</v>
      </c>
      <c r="D569" t="s">
        <v>172</v>
      </c>
      <c r="E569" t="s">
        <v>32</v>
      </c>
      <c r="F569" t="s">
        <v>23</v>
      </c>
      <c r="G569" t="s">
        <v>23</v>
      </c>
      <c r="H569" t="s">
        <v>173</v>
      </c>
      <c r="I569" t="s">
        <v>174</v>
      </c>
      <c r="J569">
        <v>0</v>
      </c>
      <c r="K569" t="s">
        <v>23</v>
      </c>
      <c r="L569">
        <v>0</v>
      </c>
      <c r="M569">
        <v>6</v>
      </c>
      <c r="N569" t="s">
        <v>238</v>
      </c>
      <c r="O569" t="s">
        <v>77</v>
      </c>
      <c r="P569" t="str">
        <f>INDEX(Teams!$B:$B,MATCH(E569,Teams!$A:$A,0))</f>
        <v>Kolkata Knight Riders</v>
      </c>
      <c r="Q569" t="str">
        <f>INDEX(Teams!$B:$B,MATCH(F569,Teams!$A:$A,0))</f>
        <v>Gujarat Lions</v>
      </c>
      <c r="R569" t="str">
        <f>INDEX(Teams!$B:$B,MATCH(G569,Teams!$A:$A,0))</f>
        <v>Gujarat Lions</v>
      </c>
      <c r="S569" t="str">
        <f>IF(K569="","No result",INDEX(Teams!$B:$B,MATCH(K569,Teams!$A:$A,0)))</f>
        <v>Gujarat Lions</v>
      </c>
      <c r="T569" t="str">
        <f>INDEX(Venues!$B:$B,MATCH(O569,Venues!$A:$A,0))</f>
        <v>Green Park</v>
      </c>
      <c r="U569" t="str">
        <f>INDEX(Venues!$C:$C,MATCH(O569,Venues!$A:$A,0))</f>
        <v>Kanpur</v>
      </c>
      <c r="V569" t="str">
        <f>IF(L569&gt;0,L569&amp;" runs",IF(M569&gt;0,M569&amp;" wickets","-"))</f>
        <v>6 wickets</v>
      </c>
      <c r="W569">
        <f>IF(G569=K569,1,0)</f>
        <v>1</v>
      </c>
      <c r="X569">
        <f>IF(L569&gt;0,L569,"")</f>
        <v/>
      </c>
      <c r="Y569">
        <f>IF(X569="","",IF(X569&gt;Stats!$B$15,"Outlier",""))</f>
        <v/>
      </c>
      <c r="Z569" t="str">
        <f>P569&amp;" vs "&amp;Q569</f>
        <v>Kolkata Knight Riders vs Gujarat Lions</v>
      </c>
    </row>
    <row r="570" spans="1:26" x14ac:dyDescent="0.25">
      <c r="A570">
        <v>628</v>
      </c>
      <c r="B570">
        <v>2016</v>
      </c>
      <c r="C570" s="5">
        <v>42510</v>
      </c>
      <c r="D570" t="s">
        <v>172</v>
      </c>
      <c r="E570" t="s">
        <v>49</v>
      </c>
      <c r="F570" t="s">
        <v>20</v>
      </c>
      <c r="G570" t="s">
        <v>20</v>
      </c>
      <c r="H570" t="s">
        <v>173</v>
      </c>
      <c r="I570" t="s">
        <v>174</v>
      </c>
      <c r="J570">
        <v>0</v>
      </c>
      <c r="K570" t="s">
        <v>20</v>
      </c>
      <c r="L570">
        <v>0</v>
      </c>
      <c r="M570">
        <v>6</v>
      </c>
      <c r="N570" t="s">
        <v>338</v>
      </c>
      <c r="O570" t="s">
        <v>120</v>
      </c>
      <c r="P570" t="str">
        <f>INDEX(Teams!$B:$B,MATCH(E570,Teams!$A:$A,0))</f>
        <v>Sunrisers Hyderabad</v>
      </c>
      <c r="Q570" t="str">
        <f>INDEX(Teams!$B:$B,MATCH(F570,Teams!$A:$A,0))</f>
        <v>Delhi Capitals</v>
      </c>
      <c r="R570" t="str">
        <f>INDEX(Teams!$B:$B,MATCH(G570,Teams!$A:$A,0))</f>
        <v>Delhi Capitals</v>
      </c>
      <c r="S570" t="str">
        <f>IF(K570="","No result",INDEX(Teams!$B:$B,MATCH(K570,Teams!$A:$A,0)))</f>
        <v>Delhi Capitals</v>
      </c>
      <c r="T570" t="str">
        <f>INDEX(Venues!$B:$B,MATCH(O570,Venues!$A:$A,0))</f>
        <v>Shaheed Veer Narayan Singh International Stadium</v>
      </c>
      <c r="U570" t="str">
        <f>INDEX(Venues!$C:$C,MATCH(O570,Venues!$A:$A,0))</f>
        <v>Raipur</v>
      </c>
      <c r="V570" t="str">
        <f>IF(L570&gt;0,L570&amp;" runs",IF(M570&gt;0,M570&amp;" wickets","-"))</f>
        <v>6 wickets</v>
      </c>
      <c r="W570">
        <f>IF(G570=K570,1,0)</f>
        <v>1</v>
      </c>
      <c r="X570">
        <f>IF(L570&gt;0,L570,"")</f>
        <v/>
      </c>
      <c r="Y570">
        <f>IF(X570="","",IF(X570&gt;Stats!$B$15,"Outlier",""))</f>
        <v/>
      </c>
      <c r="Z570" t="str">
        <f>P570&amp;" vs "&amp;Q570</f>
        <v>Sunrisers Hyderabad vs Delhi Capitals</v>
      </c>
    </row>
    <row r="571" spans="1:26" x14ac:dyDescent="0.25">
      <c r="A571">
        <v>629</v>
      </c>
      <c r="B571">
        <v>2016</v>
      </c>
      <c r="C571" s="5">
        <v>42511</v>
      </c>
      <c r="D571" t="s">
        <v>172</v>
      </c>
      <c r="E571" t="s">
        <v>26</v>
      </c>
      <c r="F571" t="s">
        <v>44</v>
      </c>
      <c r="G571" t="s">
        <v>26</v>
      </c>
      <c r="H571" t="s">
        <v>176</v>
      </c>
      <c r="I571" t="s">
        <v>174</v>
      </c>
      <c r="J571">
        <v>0</v>
      </c>
      <c r="K571" t="s">
        <v>44</v>
      </c>
      <c r="L571">
        <v>0</v>
      </c>
      <c r="M571">
        <v>4</v>
      </c>
      <c r="N571" t="s">
        <v>189</v>
      </c>
      <c r="O571" t="s">
        <v>67</v>
      </c>
      <c r="P571" t="str">
        <f>INDEX(Teams!$B:$B,MATCH(E571,Teams!$A:$A,0))</f>
        <v>Kings XI Punjab</v>
      </c>
      <c r="Q571" t="str">
        <f>INDEX(Teams!$B:$B,MATCH(F571,Teams!$A:$A,0))</f>
        <v>Rising Pune Supergiant</v>
      </c>
      <c r="R571" t="str">
        <f>INDEX(Teams!$B:$B,MATCH(G571,Teams!$A:$A,0))</f>
        <v>Kings XI Punjab</v>
      </c>
      <c r="S571" t="str">
        <f>IF(K571="","No result",INDEX(Teams!$B:$B,MATCH(K571,Teams!$A:$A,0)))</f>
        <v>Rising Pune Supergiant</v>
      </c>
      <c r="T571" t="str">
        <f>INDEX(Venues!$B:$B,MATCH(O571,Venues!$A:$A,0))</f>
        <v>Dr. Y.S. Rajasekhara Reddy ACA-VDCA Cricket Stadium</v>
      </c>
      <c r="U571" t="str">
        <f>INDEX(Venues!$C:$C,MATCH(O571,Venues!$A:$A,0))</f>
        <v>Visakhapatnam</v>
      </c>
      <c r="V571" t="str">
        <f>IF(L571&gt;0,L571&amp;" runs",IF(M571&gt;0,M571&amp;" wickets","-"))</f>
        <v>4 wickets</v>
      </c>
      <c r="W571">
        <f>IF(G571=K571,1,0)</f>
        <v>0</v>
      </c>
      <c r="X571">
        <f>IF(L571&gt;0,L571,"")</f>
        <v/>
      </c>
      <c r="Y571">
        <f>IF(X571="","",IF(X571&gt;Stats!$B$15,"Outlier",""))</f>
        <v/>
      </c>
      <c r="Z571" t="str">
        <f>P571&amp;" vs "&amp;Q571</f>
        <v>Kings XI Punjab vs Rising Pune Supergiant</v>
      </c>
    </row>
    <row r="572" spans="1:26" x14ac:dyDescent="0.25">
      <c r="A572">
        <v>630</v>
      </c>
      <c r="B572">
        <v>2016</v>
      </c>
      <c r="C572" s="5">
        <v>42511</v>
      </c>
      <c r="D572" t="s">
        <v>172</v>
      </c>
      <c r="E572" t="s">
        <v>35</v>
      </c>
      <c r="F572" t="s">
        <v>23</v>
      </c>
      <c r="G572" t="s">
        <v>23</v>
      </c>
      <c r="H572" t="s">
        <v>173</v>
      </c>
      <c r="I572" t="s">
        <v>174</v>
      </c>
      <c r="J572">
        <v>0</v>
      </c>
      <c r="K572" t="s">
        <v>23</v>
      </c>
      <c r="L572">
        <v>0</v>
      </c>
      <c r="M572">
        <v>6</v>
      </c>
      <c r="N572" t="s">
        <v>214</v>
      </c>
      <c r="O572" t="s">
        <v>77</v>
      </c>
      <c r="P572" t="str">
        <f>INDEX(Teams!$B:$B,MATCH(E572,Teams!$A:$A,0))</f>
        <v>Mumbai Indians</v>
      </c>
      <c r="Q572" t="str">
        <f>INDEX(Teams!$B:$B,MATCH(F572,Teams!$A:$A,0))</f>
        <v>Gujarat Lions</v>
      </c>
      <c r="R572" t="str">
        <f>INDEX(Teams!$B:$B,MATCH(G572,Teams!$A:$A,0))</f>
        <v>Gujarat Lions</v>
      </c>
      <c r="S572" t="str">
        <f>IF(K572="","No result",INDEX(Teams!$B:$B,MATCH(K572,Teams!$A:$A,0)))</f>
        <v>Gujarat Lions</v>
      </c>
      <c r="T572" t="str">
        <f>INDEX(Venues!$B:$B,MATCH(O572,Venues!$A:$A,0))</f>
        <v>Green Park</v>
      </c>
      <c r="U572" t="str">
        <f>INDEX(Venues!$C:$C,MATCH(O572,Venues!$A:$A,0))</f>
        <v>Kanpur</v>
      </c>
      <c r="V572" t="str">
        <f>IF(L572&gt;0,L572&amp;" runs",IF(M572&gt;0,M572&amp;" wickets","-"))</f>
        <v>6 wickets</v>
      </c>
      <c r="W572">
        <f>IF(G572=K572,1,0)</f>
        <v>1</v>
      </c>
      <c r="X572">
        <f>IF(L572&gt;0,L572,"")</f>
        <v/>
      </c>
      <c r="Y572">
        <f>IF(X572="","",IF(X572&gt;Stats!$B$15,"Outlier",""))</f>
        <v/>
      </c>
      <c r="Z572" t="str">
        <f>P572&amp;" vs "&amp;Q572</f>
        <v>Mumbai Indians vs Gujarat Lions</v>
      </c>
    </row>
    <row r="573" spans="1:26" x14ac:dyDescent="0.25">
      <c r="A573">
        <v>631</v>
      </c>
      <c r="B573">
        <v>2016</v>
      </c>
      <c r="C573" s="5">
        <v>42512</v>
      </c>
      <c r="D573" t="s">
        <v>172</v>
      </c>
      <c r="E573" t="s">
        <v>32</v>
      </c>
      <c r="F573" t="s">
        <v>49</v>
      </c>
      <c r="G573" t="s">
        <v>49</v>
      </c>
      <c r="H573" t="s">
        <v>173</v>
      </c>
      <c r="I573" t="s">
        <v>174</v>
      </c>
      <c r="J573">
        <v>0</v>
      </c>
      <c r="K573" t="s">
        <v>32</v>
      </c>
      <c r="L573">
        <v>22</v>
      </c>
      <c r="M573">
        <v>0</v>
      </c>
      <c r="N573" t="s">
        <v>184</v>
      </c>
      <c r="O573" t="s">
        <v>73</v>
      </c>
      <c r="P573" t="str">
        <f>INDEX(Teams!$B:$B,MATCH(E573,Teams!$A:$A,0))</f>
        <v>Kolkata Knight Riders</v>
      </c>
      <c r="Q573" t="str">
        <f>INDEX(Teams!$B:$B,MATCH(F573,Teams!$A:$A,0))</f>
        <v>Sunrisers Hyderabad</v>
      </c>
      <c r="R573" t="str">
        <f>INDEX(Teams!$B:$B,MATCH(G573,Teams!$A:$A,0))</f>
        <v>Sunrisers Hyderabad</v>
      </c>
      <c r="S573" t="str">
        <f>IF(K573="","No result",INDEX(Teams!$B:$B,MATCH(K573,Teams!$A:$A,0)))</f>
        <v>Kolkata Knight Riders</v>
      </c>
      <c r="T573" t="str">
        <f>INDEX(Venues!$B:$B,MATCH(O573,Venues!$A:$A,0))</f>
        <v>Eden Gardens</v>
      </c>
      <c r="U573" t="str">
        <f>INDEX(Venues!$C:$C,MATCH(O573,Venues!$A:$A,0))</f>
        <v>Kolkata</v>
      </c>
      <c r="V573" t="str">
        <f>IF(L573&gt;0,L573&amp;" runs",IF(M573&gt;0,M573&amp;" wickets","-"))</f>
        <v>22 runs</v>
      </c>
      <c r="W573">
        <f>IF(G573=K573,1,0)</f>
        <v>0</v>
      </c>
      <c r="X573">
        <f>IF(L573&gt;0,L573,"")</f>
        <v>22</v>
      </c>
      <c r="Y573">
        <f>IF(X573="","",IF(X573&gt;Stats!$B$15,"Outlier",""))</f>
        <v/>
      </c>
      <c r="Z573" t="str">
        <f>P573&amp;" vs "&amp;Q573</f>
        <v>Kolkata Knight Riders vs Sunrisers Hyderabad</v>
      </c>
    </row>
    <row r="574" spans="1:26" x14ac:dyDescent="0.25">
      <c r="A574">
        <v>632</v>
      </c>
      <c r="B574">
        <v>2016</v>
      </c>
      <c r="C574" s="5">
        <v>42512</v>
      </c>
      <c r="D574" t="s">
        <v>172</v>
      </c>
      <c r="E574" t="s">
        <v>20</v>
      </c>
      <c r="F574" t="s">
        <v>46</v>
      </c>
      <c r="G574" t="s">
        <v>46</v>
      </c>
      <c r="H574" t="s">
        <v>173</v>
      </c>
      <c r="I574" t="s">
        <v>174</v>
      </c>
      <c r="J574">
        <v>0</v>
      </c>
      <c r="K574" t="s">
        <v>46</v>
      </c>
      <c r="L574">
        <v>0</v>
      </c>
      <c r="M574">
        <v>6</v>
      </c>
      <c r="N574" t="s">
        <v>282</v>
      </c>
      <c r="O574" t="s">
        <v>120</v>
      </c>
      <c r="P574" t="str">
        <f>INDEX(Teams!$B:$B,MATCH(E574,Teams!$A:$A,0))</f>
        <v>Delhi Capitals</v>
      </c>
      <c r="Q574" t="str">
        <f>INDEX(Teams!$B:$B,MATCH(F574,Teams!$A:$A,0))</f>
        <v>Royal Challengers Bangalore</v>
      </c>
      <c r="R574" t="str">
        <f>INDEX(Teams!$B:$B,MATCH(G574,Teams!$A:$A,0))</f>
        <v>Royal Challengers Bangalore</v>
      </c>
      <c r="S574" t="str">
        <f>IF(K574="","No result",INDEX(Teams!$B:$B,MATCH(K574,Teams!$A:$A,0)))</f>
        <v>Royal Challengers Bangalore</v>
      </c>
      <c r="T574" t="str">
        <f>INDEX(Venues!$B:$B,MATCH(O574,Venues!$A:$A,0))</f>
        <v>Shaheed Veer Narayan Singh International Stadium</v>
      </c>
      <c r="U574" t="str">
        <f>INDEX(Venues!$C:$C,MATCH(O574,Venues!$A:$A,0))</f>
        <v>Raipur</v>
      </c>
      <c r="V574" t="str">
        <f>IF(L574&gt;0,L574&amp;" runs",IF(M574&gt;0,M574&amp;" wickets","-"))</f>
        <v>6 wickets</v>
      </c>
      <c r="W574">
        <f>IF(G574=K574,1,0)</f>
        <v>1</v>
      </c>
      <c r="X574">
        <f>IF(L574&gt;0,L574,"")</f>
        <v/>
      </c>
      <c r="Y574">
        <f>IF(X574="","",IF(X574&gt;Stats!$B$15,"Outlier",""))</f>
        <v/>
      </c>
      <c r="Z574" t="str">
        <f>P574&amp;" vs "&amp;Q574</f>
        <v>Delhi Capitals vs Royal Challengers Bangalore</v>
      </c>
    </row>
    <row r="575" spans="1:26" x14ac:dyDescent="0.25">
      <c r="A575">
        <v>633</v>
      </c>
      <c r="B575">
        <v>2016</v>
      </c>
      <c r="C575" s="5">
        <v>42514</v>
      </c>
      <c r="D575" t="s">
        <v>172</v>
      </c>
      <c r="E575" t="s">
        <v>23</v>
      </c>
      <c r="F575" t="s">
        <v>46</v>
      </c>
      <c r="G575" t="s">
        <v>46</v>
      </c>
      <c r="H575" t="s">
        <v>173</v>
      </c>
      <c r="I575" t="s">
        <v>174</v>
      </c>
      <c r="J575">
        <v>0</v>
      </c>
      <c r="K575" t="s">
        <v>46</v>
      </c>
      <c r="L575">
        <v>0</v>
      </c>
      <c r="M575">
        <v>4</v>
      </c>
      <c r="N575" t="s">
        <v>223</v>
      </c>
      <c r="O575" t="s">
        <v>92</v>
      </c>
      <c r="P575" t="str">
        <f>INDEX(Teams!$B:$B,MATCH(E575,Teams!$A:$A,0))</f>
        <v>Gujarat Lions</v>
      </c>
      <c r="Q575" t="str">
        <f>INDEX(Teams!$B:$B,MATCH(F575,Teams!$A:$A,0))</f>
        <v>Royal Challengers Bangalore</v>
      </c>
      <c r="R575" t="str">
        <f>INDEX(Teams!$B:$B,MATCH(G575,Teams!$A:$A,0))</f>
        <v>Royal Challengers Bangalore</v>
      </c>
      <c r="S575" t="str">
        <f>IF(K575="","No result",INDEX(Teams!$B:$B,MATCH(K575,Teams!$A:$A,0)))</f>
        <v>Royal Challengers Bangalore</v>
      </c>
      <c r="T575" t="str">
        <f>INDEX(Venues!$B:$B,MATCH(O575,Venues!$A:$A,0))</f>
        <v>M Chinnaswamy Stadium</v>
      </c>
      <c r="U575" t="str">
        <f>INDEX(Venues!$C:$C,MATCH(O575,Venues!$A:$A,0))</f>
        <v>Bangalore</v>
      </c>
      <c r="V575" t="str">
        <f>IF(L575&gt;0,L575&amp;" runs",IF(M575&gt;0,M575&amp;" wickets","-"))</f>
        <v>4 wickets</v>
      </c>
      <c r="W575">
        <f>IF(G575=K575,1,0)</f>
        <v>1</v>
      </c>
      <c r="X575">
        <f>IF(L575&gt;0,L575,"")</f>
        <v/>
      </c>
      <c r="Y575">
        <f>IF(X575="","",IF(X575&gt;Stats!$B$15,"Outlier",""))</f>
        <v/>
      </c>
      <c r="Z575" t="str">
        <f>P575&amp;" vs "&amp;Q575</f>
        <v>Gujarat Lions vs Royal Challengers Bangalore</v>
      </c>
    </row>
    <row r="576" spans="1:26" x14ac:dyDescent="0.25">
      <c r="A576">
        <v>634</v>
      </c>
      <c r="B576">
        <v>2016</v>
      </c>
      <c r="C576" s="5">
        <v>42515</v>
      </c>
      <c r="D576" t="s">
        <v>172</v>
      </c>
      <c r="E576" t="s">
        <v>49</v>
      </c>
      <c r="F576" t="s">
        <v>32</v>
      </c>
      <c r="G576" t="s">
        <v>32</v>
      </c>
      <c r="H576" t="s">
        <v>173</v>
      </c>
      <c r="I576" t="s">
        <v>174</v>
      </c>
      <c r="J576">
        <v>0</v>
      </c>
      <c r="K576" t="s">
        <v>49</v>
      </c>
      <c r="L576">
        <v>22</v>
      </c>
      <c r="M576">
        <v>0</v>
      </c>
      <c r="N576" t="s">
        <v>352</v>
      </c>
      <c r="O576" t="s">
        <v>75</v>
      </c>
      <c r="P576" t="str">
        <f>INDEX(Teams!$B:$B,MATCH(E576,Teams!$A:$A,0))</f>
        <v>Sunrisers Hyderabad</v>
      </c>
      <c r="Q576" t="str">
        <f>INDEX(Teams!$B:$B,MATCH(F576,Teams!$A:$A,0))</f>
        <v>Kolkata Knight Riders</v>
      </c>
      <c r="R576" t="str">
        <f>INDEX(Teams!$B:$B,MATCH(G576,Teams!$A:$A,0))</f>
        <v>Kolkata Knight Riders</v>
      </c>
      <c r="S576" t="str">
        <f>IF(K576="","No result",INDEX(Teams!$B:$B,MATCH(K576,Teams!$A:$A,0)))</f>
        <v>Sunrisers Hyderabad</v>
      </c>
      <c r="T576" t="str">
        <f>INDEX(Venues!$B:$B,MATCH(O576,Venues!$A:$A,0))</f>
        <v>Feroz Shah Kotla</v>
      </c>
      <c r="U576" t="str">
        <f>INDEX(Venues!$C:$C,MATCH(O576,Venues!$A:$A,0))</f>
        <v>Delhi</v>
      </c>
      <c r="V576" t="str">
        <f>IF(L576&gt;0,L576&amp;" runs",IF(M576&gt;0,M576&amp;" wickets","-"))</f>
        <v>22 runs</v>
      </c>
      <c r="W576">
        <f>IF(G576=K576,1,0)</f>
        <v>0</v>
      </c>
      <c r="X576">
        <f>IF(L576&gt;0,L576,"")</f>
        <v>22</v>
      </c>
      <c r="Y576">
        <f>IF(X576="","",IF(X576&gt;Stats!$B$15,"Outlier",""))</f>
        <v/>
      </c>
      <c r="Z576" t="str">
        <f>P576&amp;" vs "&amp;Q576</f>
        <v>Sunrisers Hyderabad vs Kolkata Knight Riders</v>
      </c>
    </row>
    <row r="577" spans="1:26" x14ac:dyDescent="0.25">
      <c r="A577">
        <v>635</v>
      </c>
      <c r="B577">
        <v>2016</v>
      </c>
      <c r="C577" s="5">
        <v>42517</v>
      </c>
      <c r="D577" t="s">
        <v>172</v>
      </c>
      <c r="E577" t="s">
        <v>23</v>
      </c>
      <c r="F577" t="s">
        <v>49</v>
      </c>
      <c r="G577" t="s">
        <v>49</v>
      </c>
      <c r="H577" t="s">
        <v>173</v>
      </c>
      <c r="I577" t="s">
        <v>174</v>
      </c>
      <c r="J577">
        <v>0</v>
      </c>
      <c r="K577" t="s">
        <v>49</v>
      </c>
      <c r="L577">
        <v>0</v>
      </c>
      <c r="M577">
        <v>4</v>
      </c>
      <c r="N577" t="s">
        <v>257</v>
      </c>
      <c r="O577" t="s">
        <v>75</v>
      </c>
      <c r="P577" t="str">
        <f>INDEX(Teams!$B:$B,MATCH(E577,Teams!$A:$A,0))</f>
        <v>Gujarat Lions</v>
      </c>
      <c r="Q577" t="str">
        <f>INDEX(Teams!$B:$B,MATCH(F577,Teams!$A:$A,0))</f>
        <v>Sunrisers Hyderabad</v>
      </c>
      <c r="R577" t="str">
        <f>INDEX(Teams!$B:$B,MATCH(G577,Teams!$A:$A,0))</f>
        <v>Sunrisers Hyderabad</v>
      </c>
      <c r="S577" t="str">
        <f>IF(K577="","No result",INDEX(Teams!$B:$B,MATCH(K577,Teams!$A:$A,0)))</f>
        <v>Sunrisers Hyderabad</v>
      </c>
      <c r="T577" t="str">
        <f>INDEX(Venues!$B:$B,MATCH(O577,Venues!$A:$A,0))</f>
        <v>Feroz Shah Kotla</v>
      </c>
      <c r="U577" t="str">
        <f>INDEX(Venues!$C:$C,MATCH(O577,Venues!$A:$A,0))</f>
        <v>Delhi</v>
      </c>
      <c r="V577" t="str">
        <f>IF(L577&gt;0,L577&amp;" runs",IF(M577&gt;0,M577&amp;" wickets","-"))</f>
        <v>4 wickets</v>
      </c>
      <c r="W577">
        <f>IF(G577=K577,1,0)</f>
        <v>1</v>
      </c>
      <c r="X577">
        <f>IF(L577&gt;0,L577,"")</f>
        <v/>
      </c>
      <c r="Y577">
        <f>IF(X577="","",IF(X577&gt;Stats!$B$15,"Outlier",""))</f>
        <v/>
      </c>
      <c r="Z577" t="str">
        <f>P577&amp;" vs "&amp;Q577</f>
        <v>Gujarat Lions vs Sunrisers Hyderabad</v>
      </c>
    </row>
    <row r="578" spans="1:26" x14ac:dyDescent="0.25">
      <c r="A578">
        <v>636</v>
      </c>
      <c r="B578">
        <v>2016</v>
      </c>
      <c r="C578" s="5">
        <v>42519</v>
      </c>
      <c r="D578" t="s">
        <v>216</v>
      </c>
      <c r="E578" t="s">
        <v>49</v>
      </c>
      <c r="F578" t="s">
        <v>46</v>
      </c>
      <c r="G578" t="s">
        <v>49</v>
      </c>
      <c r="H578" t="s">
        <v>176</v>
      </c>
      <c r="I578" t="s">
        <v>174</v>
      </c>
      <c r="J578">
        <v>0</v>
      </c>
      <c r="K578" t="s">
        <v>49</v>
      </c>
      <c r="L578">
        <v>8</v>
      </c>
      <c r="M578">
        <v>0</v>
      </c>
      <c r="N578" t="s">
        <v>366</v>
      </c>
      <c r="O578" t="s">
        <v>92</v>
      </c>
      <c r="P578" t="str">
        <f>INDEX(Teams!$B:$B,MATCH(E578,Teams!$A:$A,0))</f>
        <v>Sunrisers Hyderabad</v>
      </c>
      <c r="Q578" t="str">
        <f>INDEX(Teams!$B:$B,MATCH(F578,Teams!$A:$A,0))</f>
        <v>Royal Challengers Bangalore</v>
      </c>
      <c r="R578" t="str">
        <f>INDEX(Teams!$B:$B,MATCH(G578,Teams!$A:$A,0))</f>
        <v>Sunrisers Hyderabad</v>
      </c>
      <c r="S578" t="str">
        <f>IF(K578="","No result",INDEX(Teams!$B:$B,MATCH(K578,Teams!$A:$A,0)))</f>
        <v>Sunrisers Hyderabad</v>
      </c>
      <c r="T578" t="str">
        <f>INDEX(Venues!$B:$B,MATCH(O578,Venues!$A:$A,0))</f>
        <v>M Chinnaswamy Stadium</v>
      </c>
      <c r="U578" t="str">
        <f>INDEX(Venues!$C:$C,MATCH(O578,Venues!$A:$A,0))</f>
        <v>Bangalore</v>
      </c>
      <c r="V578" t="str">
        <f>IF(L578&gt;0,L578&amp;" runs",IF(M578&gt;0,M578&amp;" wickets","-"))</f>
        <v>8 runs</v>
      </c>
      <c r="W578">
        <f>IF(G578=K578,1,0)</f>
        <v>1</v>
      </c>
      <c r="X578">
        <f>IF(L578&gt;0,L578,"")</f>
        <v>8</v>
      </c>
      <c r="Y578">
        <f>IF(X578="","",IF(X578&gt;Stats!$B$15,"Outlier",""))</f>
        <v/>
      </c>
      <c r="Z578" t="str">
        <f>P578&amp;" vs "&amp;Q578</f>
        <v>Sunrisers Hyderabad vs Royal Challengers Bangalore</v>
      </c>
    </row>
    <row r="579" spans="1:26" x14ac:dyDescent="0.25">
      <c r="A579">
        <v>1</v>
      </c>
      <c r="B579">
        <v>2017</v>
      </c>
      <c r="C579" s="5">
        <v>42830</v>
      </c>
      <c r="D579" t="s">
        <v>172</v>
      </c>
      <c r="E579" t="s">
        <v>49</v>
      </c>
      <c r="F579" t="s">
        <v>46</v>
      </c>
      <c r="G579" t="s">
        <v>46</v>
      </c>
      <c r="H579" t="s">
        <v>173</v>
      </c>
      <c r="I579" t="s">
        <v>174</v>
      </c>
      <c r="J579">
        <v>0</v>
      </c>
      <c r="K579" t="s">
        <v>49</v>
      </c>
      <c r="L579">
        <v>35</v>
      </c>
      <c r="M579">
        <v>0</v>
      </c>
      <c r="N579" t="s">
        <v>231</v>
      </c>
      <c r="O579" t="s">
        <v>111</v>
      </c>
      <c r="P579" t="str">
        <f>INDEX(Teams!$B:$B,MATCH(E579,Teams!$A:$A,0))</f>
        <v>Sunrisers Hyderabad</v>
      </c>
      <c r="Q579" t="str">
        <f>INDEX(Teams!$B:$B,MATCH(F579,Teams!$A:$A,0))</f>
        <v>Royal Challengers Bangalore</v>
      </c>
      <c r="R579" t="str">
        <f>INDEX(Teams!$B:$B,MATCH(G579,Teams!$A:$A,0))</f>
        <v>Royal Challengers Bangalore</v>
      </c>
      <c r="S579" t="str">
        <f>IF(K579="","No result",INDEX(Teams!$B:$B,MATCH(K579,Teams!$A:$A,0)))</f>
        <v>Sunrisers Hyderabad</v>
      </c>
      <c r="T579" t="str">
        <f>INDEX(Venues!$B:$B,MATCH(O579,Venues!$A:$A,0))</f>
        <v>Rajiv Gandhi International Stadium</v>
      </c>
      <c r="U579" t="str">
        <f>INDEX(Venues!$C:$C,MATCH(O579,Venues!$A:$A,0))</f>
        <v>Hyderabad</v>
      </c>
      <c r="V579" t="str">
        <f>IF(L579&gt;0,L579&amp;" runs",IF(M579&gt;0,M579&amp;" wickets","-"))</f>
        <v>35 runs</v>
      </c>
      <c r="W579">
        <f>IF(G579=K579,1,0)</f>
        <v>0</v>
      </c>
      <c r="X579">
        <f>IF(L579&gt;0,L579,"")</f>
        <v>35</v>
      </c>
      <c r="Y579">
        <f>IF(X579="","",IF(X579&gt;Stats!$B$15,"Outlier",""))</f>
        <v/>
      </c>
      <c r="Z579" t="str">
        <f>P579&amp;" vs "&amp;Q579</f>
        <v>Sunrisers Hyderabad vs Royal Challengers Bangalore</v>
      </c>
    </row>
    <row r="580" spans="1:26" x14ac:dyDescent="0.25">
      <c r="A580">
        <v>2</v>
      </c>
      <c r="B580">
        <v>2017</v>
      </c>
      <c r="C580" s="5">
        <v>42831</v>
      </c>
      <c r="D580" t="s">
        <v>172</v>
      </c>
      <c r="E580" t="s">
        <v>35</v>
      </c>
      <c r="F580" t="s">
        <v>44</v>
      </c>
      <c r="G580" t="s">
        <v>44</v>
      </c>
      <c r="H580" t="s">
        <v>173</v>
      </c>
      <c r="I580" t="s">
        <v>174</v>
      </c>
      <c r="J580">
        <v>0</v>
      </c>
      <c r="K580" t="s">
        <v>44</v>
      </c>
      <c r="L580">
        <v>0</v>
      </c>
      <c r="M580">
        <v>7</v>
      </c>
      <c r="N580" t="s">
        <v>297</v>
      </c>
      <c r="O580" t="s">
        <v>96</v>
      </c>
      <c r="P580" t="str">
        <f>INDEX(Teams!$B:$B,MATCH(E580,Teams!$A:$A,0))</f>
        <v>Mumbai Indians</v>
      </c>
      <c r="Q580" t="str">
        <f>INDEX(Teams!$B:$B,MATCH(F580,Teams!$A:$A,0))</f>
        <v>Rising Pune Supergiant</v>
      </c>
      <c r="R580" t="str">
        <f>INDEX(Teams!$B:$B,MATCH(G580,Teams!$A:$A,0))</f>
        <v>Rising Pune Supergiant</v>
      </c>
      <c r="S580" t="str">
        <f>IF(K580="","No result",INDEX(Teams!$B:$B,MATCH(K580,Teams!$A:$A,0)))</f>
        <v>Rising Pune Supergiant</v>
      </c>
      <c r="T580" t="str">
        <f>INDEX(Venues!$B:$B,MATCH(O580,Venues!$A:$A,0))</f>
        <v>Maharashtra Cricket Association Stadium</v>
      </c>
      <c r="U580" t="str">
        <f>INDEX(Venues!$C:$C,MATCH(O580,Venues!$A:$A,0))</f>
        <v>Pune</v>
      </c>
      <c r="V580" t="str">
        <f>IF(L580&gt;0,L580&amp;" runs",IF(M580&gt;0,M580&amp;" wickets","-"))</f>
        <v>7 wickets</v>
      </c>
      <c r="W580">
        <f>IF(G580=K580,1,0)</f>
        <v>1</v>
      </c>
      <c r="X580">
        <f>IF(L580&gt;0,L580,"")</f>
        <v/>
      </c>
      <c r="Y580">
        <f>IF(X580="","",IF(X580&gt;Stats!$B$15,"Outlier",""))</f>
        <v/>
      </c>
      <c r="Z580" t="str">
        <f>P580&amp;" vs "&amp;Q580</f>
        <v>Mumbai Indians vs Rising Pune Supergiant</v>
      </c>
    </row>
    <row r="581" spans="1:26" x14ac:dyDescent="0.25">
      <c r="A581">
        <v>3</v>
      </c>
      <c r="B581">
        <v>2017</v>
      </c>
      <c r="C581" s="5">
        <v>42832</v>
      </c>
      <c r="D581" t="s">
        <v>172</v>
      </c>
      <c r="E581" t="s">
        <v>23</v>
      </c>
      <c r="F581" t="s">
        <v>32</v>
      </c>
      <c r="G581" t="s">
        <v>32</v>
      </c>
      <c r="H581" t="s">
        <v>173</v>
      </c>
      <c r="I581" t="s">
        <v>174</v>
      </c>
      <c r="J581">
        <v>0</v>
      </c>
      <c r="K581" t="s">
        <v>32</v>
      </c>
      <c r="L581">
        <v>0</v>
      </c>
      <c r="M581">
        <v>10</v>
      </c>
      <c r="N581" t="s">
        <v>332</v>
      </c>
      <c r="O581" t="s">
        <v>116</v>
      </c>
      <c r="P581" t="str">
        <f>INDEX(Teams!$B:$B,MATCH(E581,Teams!$A:$A,0))</f>
        <v>Gujarat Lions</v>
      </c>
      <c r="Q581" t="str">
        <f>INDEX(Teams!$B:$B,MATCH(F581,Teams!$A:$A,0))</f>
        <v>Kolkata Knight Riders</v>
      </c>
      <c r="R581" t="str">
        <f>INDEX(Teams!$B:$B,MATCH(G581,Teams!$A:$A,0))</f>
        <v>Kolkata Knight Riders</v>
      </c>
      <c r="S581" t="str">
        <f>IF(K581="","No result",INDEX(Teams!$B:$B,MATCH(K581,Teams!$A:$A,0)))</f>
        <v>Kolkata Knight Riders</v>
      </c>
      <c r="T581" t="str">
        <f>INDEX(Venues!$B:$B,MATCH(O581,Venues!$A:$A,0))</f>
        <v>Saurashtra Cricket Association Stadium</v>
      </c>
      <c r="U581" t="str">
        <f>INDEX(Venues!$C:$C,MATCH(O581,Venues!$A:$A,0))</f>
        <v>Rajkot</v>
      </c>
      <c r="V581" t="str">
        <f>IF(L581&gt;0,L581&amp;" runs",IF(M581&gt;0,M581&amp;" wickets","-"))</f>
        <v>10 wickets</v>
      </c>
      <c r="W581">
        <f>IF(G581=K581,1,0)</f>
        <v>1</v>
      </c>
      <c r="X581">
        <f>IF(L581&gt;0,L581,"")</f>
        <v/>
      </c>
      <c r="Y581">
        <f>IF(X581="","",IF(X581&gt;Stats!$B$15,"Outlier",""))</f>
        <v/>
      </c>
      <c r="Z581" t="str">
        <f>P581&amp;" vs "&amp;Q581</f>
        <v>Gujarat Lions vs Kolkata Knight Riders</v>
      </c>
    </row>
    <row r="582" spans="1:26" x14ac:dyDescent="0.25">
      <c r="A582">
        <v>4</v>
      </c>
      <c r="B582">
        <v>2017</v>
      </c>
      <c r="C582" s="5">
        <v>42833</v>
      </c>
      <c r="D582" t="s">
        <v>172</v>
      </c>
      <c r="E582" t="s">
        <v>44</v>
      </c>
      <c r="F582" t="s">
        <v>26</v>
      </c>
      <c r="G582" t="s">
        <v>26</v>
      </c>
      <c r="H582" t="s">
        <v>173</v>
      </c>
      <c r="I582" t="s">
        <v>174</v>
      </c>
      <c r="J582">
        <v>0</v>
      </c>
      <c r="K582" t="s">
        <v>26</v>
      </c>
      <c r="L582">
        <v>0</v>
      </c>
      <c r="M582">
        <v>6</v>
      </c>
      <c r="N582" t="s">
        <v>331</v>
      </c>
      <c r="O582" t="s">
        <v>83</v>
      </c>
      <c r="P582" t="str">
        <f>INDEX(Teams!$B:$B,MATCH(E582,Teams!$A:$A,0))</f>
        <v>Rising Pune Supergiant</v>
      </c>
      <c r="Q582" t="str">
        <f>INDEX(Teams!$B:$B,MATCH(F582,Teams!$A:$A,0))</f>
        <v>Kings XI Punjab</v>
      </c>
      <c r="R582" t="str">
        <f>INDEX(Teams!$B:$B,MATCH(G582,Teams!$A:$A,0))</f>
        <v>Kings XI Punjab</v>
      </c>
      <c r="S582" t="str">
        <f>IF(K582="","No result",INDEX(Teams!$B:$B,MATCH(K582,Teams!$A:$A,0)))</f>
        <v>Kings XI Punjab</v>
      </c>
      <c r="T582" t="str">
        <f>INDEX(Venues!$B:$B,MATCH(O582,Venues!$A:$A,0))</f>
        <v>Holkar Cricket Stadium</v>
      </c>
      <c r="U582" t="str">
        <f>INDEX(Venues!$C:$C,MATCH(O582,Venues!$A:$A,0))</f>
        <v>Indore</v>
      </c>
      <c r="V582" t="str">
        <f>IF(L582&gt;0,L582&amp;" runs",IF(M582&gt;0,M582&amp;" wickets","-"))</f>
        <v>6 wickets</v>
      </c>
      <c r="W582">
        <f>IF(G582=K582,1,0)</f>
        <v>1</v>
      </c>
      <c r="X582">
        <f>IF(L582&gt;0,L582,"")</f>
        <v/>
      </c>
      <c r="Y582">
        <f>IF(X582="","",IF(X582&gt;Stats!$B$15,"Outlier",""))</f>
        <v/>
      </c>
      <c r="Z582" t="str">
        <f>P582&amp;" vs "&amp;Q582</f>
        <v>Rising Pune Supergiant vs Kings XI Punjab</v>
      </c>
    </row>
    <row r="583" spans="1:26" x14ac:dyDescent="0.25">
      <c r="A583">
        <v>5</v>
      </c>
      <c r="B583">
        <v>2017</v>
      </c>
      <c r="C583" s="5">
        <v>42833</v>
      </c>
      <c r="D583" t="s">
        <v>172</v>
      </c>
      <c r="E583" t="s">
        <v>46</v>
      </c>
      <c r="F583" t="s">
        <v>20</v>
      </c>
      <c r="G583" t="s">
        <v>46</v>
      </c>
      <c r="H583" t="s">
        <v>176</v>
      </c>
      <c r="I583" t="s">
        <v>174</v>
      </c>
      <c r="J583">
        <v>0</v>
      </c>
      <c r="K583" t="s">
        <v>46</v>
      </c>
      <c r="L583">
        <v>15</v>
      </c>
      <c r="M583">
        <v>0</v>
      </c>
      <c r="N583" t="s">
        <v>255</v>
      </c>
      <c r="O583" t="s">
        <v>92</v>
      </c>
      <c r="P583" t="str">
        <f>INDEX(Teams!$B:$B,MATCH(E583,Teams!$A:$A,0))</f>
        <v>Royal Challengers Bangalore</v>
      </c>
      <c r="Q583" t="str">
        <f>INDEX(Teams!$B:$B,MATCH(F583,Teams!$A:$A,0))</f>
        <v>Delhi Capitals</v>
      </c>
      <c r="R583" t="str">
        <f>INDEX(Teams!$B:$B,MATCH(G583,Teams!$A:$A,0))</f>
        <v>Royal Challengers Bangalore</v>
      </c>
      <c r="S583" t="str">
        <f>IF(K583="","No result",INDEX(Teams!$B:$B,MATCH(K583,Teams!$A:$A,0)))</f>
        <v>Royal Challengers Bangalore</v>
      </c>
      <c r="T583" t="str">
        <f>INDEX(Venues!$B:$B,MATCH(O583,Venues!$A:$A,0))</f>
        <v>M Chinnaswamy Stadium</v>
      </c>
      <c r="U583" t="str">
        <f>INDEX(Venues!$C:$C,MATCH(O583,Venues!$A:$A,0))</f>
        <v>Bangalore</v>
      </c>
      <c r="V583" t="str">
        <f>IF(L583&gt;0,L583&amp;" runs",IF(M583&gt;0,M583&amp;" wickets","-"))</f>
        <v>15 runs</v>
      </c>
      <c r="W583">
        <f>IF(G583=K583,1,0)</f>
        <v>1</v>
      </c>
      <c r="X583">
        <f>IF(L583&gt;0,L583,"")</f>
        <v>15</v>
      </c>
      <c r="Y583">
        <f>IF(X583="","",IF(X583&gt;Stats!$B$15,"Outlier",""))</f>
        <v/>
      </c>
      <c r="Z583" t="str">
        <f>P583&amp;" vs "&amp;Q583</f>
        <v>Royal Challengers Bangalore vs Delhi Capitals</v>
      </c>
    </row>
    <row r="584" spans="1:26" x14ac:dyDescent="0.25">
      <c r="A584">
        <v>6</v>
      </c>
      <c r="B584">
        <v>2017</v>
      </c>
      <c r="C584" s="5">
        <v>42834</v>
      </c>
      <c r="D584" t="s">
        <v>172</v>
      </c>
      <c r="E584" t="s">
        <v>23</v>
      </c>
      <c r="F584" t="s">
        <v>49</v>
      </c>
      <c r="G584" t="s">
        <v>49</v>
      </c>
      <c r="H584" t="s">
        <v>173</v>
      </c>
      <c r="I584" t="s">
        <v>174</v>
      </c>
      <c r="J584">
        <v>0</v>
      </c>
      <c r="K584" t="s">
        <v>49</v>
      </c>
      <c r="L584">
        <v>0</v>
      </c>
      <c r="M584">
        <v>9</v>
      </c>
      <c r="N584" t="s">
        <v>367</v>
      </c>
      <c r="O584" t="s">
        <v>111</v>
      </c>
      <c r="P584" t="str">
        <f>INDEX(Teams!$B:$B,MATCH(E584,Teams!$A:$A,0))</f>
        <v>Gujarat Lions</v>
      </c>
      <c r="Q584" t="str">
        <f>INDEX(Teams!$B:$B,MATCH(F584,Teams!$A:$A,0))</f>
        <v>Sunrisers Hyderabad</v>
      </c>
      <c r="R584" t="str">
        <f>INDEX(Teams!$B:$B,MATCH(G584,Teams!$A:$A,0))</f>
        <v>Sunrisers Hyderabad</v>
      </c>
      <c r="S584" t="str">
        <f>IF(K584="","No result",INDEX(Teams!$B:$B,MATCH(K584,Teams!$A:$A,0)))</f>
        <v>Sunrisers Hyderabad</v>
      </c>
      <c r="T584" t="str">
        <f>INDEX(Venues!$B:$B,MATCH(O584,Venues!$A:$A,0))</f>
        <v>Rajiv Gandhi International Stadium</v>
      </c>
      <c r="U584" t="str">
        <f>INDEX(Venues!$C:$C,MATCH(O584,Venues!$A:$A,0))</f>
        <v>Hyderabad</v>
      </c>
      <c r="V584" t="str">
        <f>IF(L584&gt;0,L584&amp;" runs",IF(M584&gt;0,M584&amp;" wickets","-"))</f>
        <v>9 wickets</v>
      </c>
      <c r="W584">
        <f>IF(G584=K584,1,0)</f>
        <v>1</v>
      </c>
      <c r="X584">
        <f>IF(L584&gt;0,L584,"")</f>
        <v/>
      </c>
      <c r="Y584">
        <f>IF(X584="","",IF(X584&gt;Stats!$B$15,"Outlier",""))</f>
        <v/>
      </c>
      <c r="Z584" t="str">
        <f>P584&amp;" vs "&amp;Q584</f>
        <v>Gujarat Lions vs Sunrisers Hyderabad</v>
      </c>
    </row>
    <row r="585" spans="1:26" x14ac:dyDescent="0.25">
      <c r="A585">
        <v>7</v>
      </c>
      <c r="B585">
        <v>2017</v>
      </c>
      <c r="C585" s="5">
        <v>42834</v>
      </c>
      <c r="D585" t="s">
        <v>172</v>
      </c>
      <c r="E585" t="s">
        <v>32</v>
      </c>
      <c r="F585" t="s">
        <v>35</v>
      </c>
      <c r="G585" t="s">
        <v>35</v>
      </c>
      <c r="H585" t="s">
        <v>173</v>
      </c>
      <c r="I585" t="s">
        <v>174</v>
      </c>
      <c r="J585">
        <v>0</v>
      </c>
      <c r="K585" t="s">
        <v>35</v>
      </c>
      <c r="L585">
        <v>0</v>
      </c>
      <c r="M585">
        <v>4</v>
      </c>
      <c r="N585" t="s">
        <v>368</v>
      </c>
      <c r="O585" t="s">
        <v>138</v>
      </c>
      <c r="P585" t="str">
        <f>INDEX(Teams!$B:$B,MATCH(E585,Teams!$A:$A,0))</f>
        <v>Kolkata Knight Riders</v>
      </c>
      <c r="Q585" t="str">
        <f>INDEX(Teams!$B:$B,MATCH(F585,Teams!$A:$A,0))</f>
        <v>Mumbai Indians</v>
      </c>
      <c r="R585" t="str">
        <f>INDEX(Teams!$B:$B,MATCH(G585,Teams!$A:$A,0))</f>
        <v>Mumbai Indians</v>
      </c>
      <c r="S585" t="str">
        <f>IF(K585="","No result",INDEX(Teams!$B:$B,MATCH(K585,Teams!$A:$A,0)))</f>
        <v>Mumbai Indians</v>
      </c>
      <c r="T585" t="str">
        <f>INDEX(Venues!$B:$B,MATCH(O585,Venues!$A:$A,0))</f>
        <v>Wankhede Stadium</v>
      </c>
      <c r="U585" t="str">
        <f>INDEX(Venues!$C:$C,MATCH(O585,Venues!$A:$A,0))</f>
        <v>Mumbai</v>
      </c>
      <c r="V585" t="str">
        <f>IF(L585&gt;0,L585&amp;" runs",IF(M585&gt;0,M585&amp;" wickets","-"))</f>
        <v>4 wickets</v>
      </c>
      <c r="W585">
        <f>IF(G585=K585,1,0)</f>
        <v>1</v>
      </c>
      <c r="X585">
        <f>IF(L585&gt;0,L585,"")</f>
        <v/>
      </c>
      <c r="Y585">
        <f>IF(X585="","",IF(X585&gt;Stats!$B$15,"Outlier",""))</f>
        <v/>
      </c>
      <c r="Z585" t="str">
        <f>P585&amp;" vs "&amp;Q585</f>
        <v>Kolkata Knight Riders vs Mumbai Indians</v>
      </c>
    </row>
    <row r="586" spans="1:26" x14ac:dyDescent="0.25">
      <c r="A586">
        <v>8</v>
      </c>
      <c r="B586">
        <v>2017</v>
      </c>
      <c r="C586" s="5">
        <v>42835</v>
      </c>
      <c r="D586" t="s">
        <v>172</v>
      </c>
      <c r="E586" t="s">
        <v>46</v>
      </c>
      <c r="F586" t="s">
        <v>26</v>
      </c>
      <c r="G586" t="s">
        <v>46</v>
      </c>
      <c r="H586" t="s">
        <v>176</v>
      </c>
      <c r="I586" t="s">
        <v>174</v>
      </c>
      <c r="J586">
        <v>0</v>
      </c>
      <c r="K586" t="s">
        <v>26</v>
      </c>
      <c r="L586">
        <v>0</v>
      </c>
      <c r="M586">
        <v>8</v>
      </c>
      <c r="N586" t="s">
        <v>339</v>
      </c>
      <c r="O586" t="s">
        <v>83</v>
      </c>
      <c r="P586" t="str">
        <f>INDEX(Teams!$B:$B,MATCH(E586,Teams!$A:$A,0))</f>
        <v>Royal Challengers Bangalore</v>
      </c>
      <c r="Q586" t="str">
        <f>INDEX(Teams!$B:$B,MATCH(F586,Teams!$A:$A,0))</f>
        <v>Kings XI Punjab</v>
      </c>
      <c r="R586" t="str">
        <f>INDEX(Teams!$B:$B,MATCH(G586,Teams!$A:$A,0))</f>
        <v>Royal Challengers Bangalore</v>
      </c>
      <c r="S586" t="str">
        <f>IF(K586="","No result",INDEX(Teams!$B:$B,MATCH(K586,Teams!$A:$A,0)))</f>
        <v>Kings XI Punjab</v>
      </c>
      <c r="T586" t="str">
        <f>INDEX(Venues!$B:$B,MATCH(O586,Venues!$A:$A,0))</f>
        <v>Holkar Cricket Stadium</v>
      </c>
      <c r="U586" t="str">
        <f>INDEX(Venues!$C:$C,MATCH(O586,Venues!$A:$A,0))</f>
        <v>Indore</v>
      </c>
      <c r="V586" t="str">
        <f>IF(L586&gt;0,L586&amp;" runs",IF(M586&gt;0,M586&amp;" wickets","-"))</f>
        <v>8 wickets</v>
      </c>
      <c r="W586">
        <f>IF(G586=K586,1,0)</f>
        <v>0</v>
      </c>
      <c r="X586">
        <f>IF(L586&gt;0,L586,"")</f>
        <v/>
      </c>
      <c r="Y586">
        <f>IF(X586="","",IF(X586&gt;Stats!$B$15,"Outlier",""))</f>
        <v/>
      </c>
      <c r="Z586" t="str">
        <f>P586&amp;" vs "&amp;Q586</f>
        <v>Royal Challengers Bangalore vs Kings XI Punjab</v>
      </c>
    </row>
    <row r="587" spans="1:26" x14ac:dyDescent="0.25">
      <c r="A587">
        <v>9</v>
      </c>
      <c r="B587">
        <v>2017</v>
      </c>
      <c r="C587" s="5">
        <v>42836</v>
      </c>
      <c r="D587" t="s">
        <v>172</v>
      </c>
      <c r="E587" t="s">
        <v>20</v>
      </c>
      <c r="F587" t="s">
        <v>44</v>
      </c>
      <c r="G587" t="s">
        <v>44</v>
      </c>
      <c r="H587" t="s">
        <v>173</v>
      </c>
      <c r="I587" t="s">
        <v>174</v>
      </c>
      <c r="J587">
        <v>0</v>
      </c>
      <c r="K587" t="s">
        <v>20</v>
      </c>
      <c r="L587">
        <v>97</v>
      </c>
      <c r="M587">
        <v>0</v>
      </c>
      <c r="N587" t="s">
        <v>323</v>
      </c>
      <c r="O587" t="s">
        <v>96</v>
      </c>
      <c r="P587" t="str">
        <f>INDEX(Teams!$B:$B,MATCH(E587,Teams!$A:$A,0))</f>
        <v>Delhi Capitals</v>
      </c>
      <c r="Q587" t="str">
        <f>INDEX(Teams!$B:$B,MATCH(F587,Teams!$A:$A,0))</f>
        <v>Rising Pune Supergiant</v>
      </c>
      <c r="R587" t="str">
        <f>INDEX(Teams!$B:$B,MATCH(G587,Teams!$A:$A,0))</f>
        <v>Rising Pune Supergiant</v>
      </c>
      <c r="S587" t="str">
        <f>IF(K587="","No result",INDEX(Teams!$B:$B,MATCH(K587,Teams!$A:$A,0)))</f>
        <v>Delhi Capitals</v>
      </c>
      <c r="T587" t="str">
        <f>INDEX(Venues!$B:$B,MATCH(O587,Venues!$A:$A,0))</f>
        <v>Maharashtra Cricket Association Stadium</v>
      </c>
      <c r="U587" t="str">
        <f>INDEX(Venues!$C:$C,MATCH(O587,Venues!$A:$A,0))</f>
        <v>Pune</v>
      </c>
      <c r="V587" t="str">
        <f>IF(L587&gt;0,L587&amp;" runs",IF(M587&gt;0,M587&amp;" wickets","-"))</f>
        <v>97 runs</v>
      </c>
      <c r="W587">
        <f>IF(G587=K587,1,0)</f>
        <v>0</v>
      </c>
      <c r="X587">
        <f>IF(L587&gt;0,L587,"")</f>
        <v>97</v>
      </c>
      <c r="Y587" t="str">
        <f>IF(X587="","",IF(X587&gt;Stats!$B$15,"Outlier",""))</f>
        <v>Outlier</v>
      </c>
      <c r="Z587" t="str">
        <f>P587&amp;" vs "&amp;Q587</f>
        <v>Delhi Capitals vs Rising Pune Supergiant</v>
      </c>
    </row>
    <row r="588" spans="1:26" x14ac:dyDescent="0.25">
      <c r="A588">
        <v>10</v>
      </c>
      <c r="B588">
        <v>2017</v>
      </c>
      <c r="C588" s="5">
        <v>42837</v>
      </c>
      <c r="D588" t="s">
        <v>172</v>
      </c>
      <c r="E588" t="s">
        <v>49</v>
      </c>
      <c r="F588" t="s">
        <v>35</v>
      </c>
      <c r="G588" t="s">
        <v>35</v>
      </c>
      <c r="H588" t="s">
        <v>173</v>
      </c>
      <c r="I588" t="s">
        <v>174</v>
      </c>
      <c r="J588">
        <v>0</v>
      </c>
      <c r="K588" t="s">
        <v>35</v>
      </c>
      <c r="L588">
        <v>0</v>
      </c>
      <c r="M588">
        <v>4</v>
      </c>
      <c r="N588" t="s">
        <v>369</v>
      </c>
      <c r="O588" t="s">
        <v>138</v>
      </c>
      <c r="P588" t="str">
        <f>INDEX(Teams!$B:$B,MATCH(E588,Teams!$A:$A,0))</f>
        <v>Sunrisers Hyderabad</v>
      </c>
      <c r="Q588" t="str">
        <f>INDEX(Teams!$B:$B,MATCH(F588,Teams!$A:$A,0))</f>
        <v>Mumbai Indians</v>
      </c>
      <c r="R588" t="str">
        <f>INDEX(Teams!$B:$B,MATCH(G588,Teams!$A:$A,0))</f>
        <v>Mumbai Indians</v>
      </c>
      <c r="S588" t="str">
        <f>IF(K588="","No result",INDEX(Teams!$B:$B,MATCH(K588,Teams!$A:$A,0)))</f>
        <v>Mumbai Indians</v>
      </c>
      <c r="T588" t="str">
        <f>INDEX(Venues!$B:$B,MATCH(O588,Venues!$A:$A,0))</f>
        <v>Wankhede Stadium</v>
      </c>
      <c r="U588" t="str">
        <f>INDEX(Venues!$C:$C,MATCH(O588,Venues!$A:$A,0))</f>
        <v>Mumbai</v>
      </c>
      <c r="V588" t="str">
        <f>IF(L588&gt;0,L588&amp;" runs",IF(M588&gt;0,M588&amp;" wickets","-"))</f>
        <v>4 wickets</v>
      </c>
      <c r="W588">
        <f>IF(G588=K588,1,0)</f>
        <v>1</v>
      </c>
      <c r="X588">
        <f>IF(L588&gt;0,L588,"")</f>
        <v/>
      </c>
      <c r="Y588">
        <f>IF(X588="","",IF(X588&gt;Stats!$B$15,"Outlier",""))</f>
        <v/>
      </c>
      <c r="Z588" t="str">
        <f>P588&amp;" vs "&amp;Q588</f>
        <v>Sunrisers Hyderabad vs Mumbai Indians</v>
      </c>
    </row>
    <row r="589" spans="1:26" x14ac:dyDescent="0.25">
      <c r="A589">
        <v>11</v>
      </c>
      <c r="B589">
        <v>2017</v>
      </c>
      <c r="C589" s="5">
        <v>42838</v>
      </c>
      <c r="D589" t="s">
        <v>172</v>
      </c>
      <c r="E589" t="s">
        <v>26</v>
      </c>
      <c r="F589" t="s">
        <v>32</v>
      </c>
      <c r="G589" t="s">
        <v>32</v>
      </c>
      <c r="H589" t="s">
        <v>173</v>
      </c>
      <c r="I589" t="s">
        <v>174</v>
      </c>
      <c r="J589">
        <v>0</v>
      </c>
      <c r="K589" t="s">
        <v>32</v>
      </c>
      <c r="L589">
        <v>0</v>
      </c>
      <c r="M589">
        <v>8</v>
      </c>
      <c r="N589" t="s">
        <v>306</v>
      </c>
      <c r="O589" t="s">
        <v>73</v>
      </c>
      <c r="P589" t="str">
        <f>INDEX(Teams!$B:$B,MATCH(E589,Teams!$A:$A,0))</f>
        <v>Kings XI Punjab</v>
      </c>
      <c r="Q589" t="str">
        <f>INDEX(Teams!$B:$B,MATCH(F589,Teams!$A:$A,0))</f>
        <v>Kolkata Knight Riders</v>
      </c>
      <c r="R589" t="str">
        <f>INDEX(Teams!$B:$B,MATCH(G589,Teams!$A:$A,0))</f>
        <v>Kolkata Knight Riders</v>
      </c>
      <c r="S589" t="str">
        <f>IF(K589="","No result",INDEX(Teams!$B:$B,MATCH(K589,Teams!$A:$A,0)))</f>
        <v>Kolkata Knight Riders</v>
      </c>
      <c r="T589" t="str">
        <f>INDEX(Venues!$B:$B,MATCH(O589,Venues!$A:$A,0))</f>
        <v>Eden Gardens</v>
      </c>
      <c r="U589" t="str">
        <f>INDEX(Venues!$C:$C,MATCH(O589,Venues!$A:$A,0))</f>
        <v>Kolkata</v>
      </c>
      <c r="V589" t="str">
        <f>IF(L589&gt;0,L589&amp;" runs",IF(M589&gt;0,M589&amp;" wickets","-"))</f>
        <v>8 wickets</v>
      </c>
      <c r="W589">
        <f>IF(G589=K589,1,0)</f>
        <v>1</v>
      </c>
      <c r="X589">
        <f>IF(L589&gt;0,L589,"")</f>
        <v/>
      </c>
      <c r="Y589">
        <f>IF(X589="","",IF(X589&gt;Stats!$B$15,"Outlier",""))</f>
        <v/>
      </c>
      <c r="Z589" t="str">
        <f>P589&amp;" vs "&amp;Q589</f>
        <v>Kings XI Punjab vs Kolkata Knight Riders</v>
      </c>
    </row>
    <row r="590" spans="1:26" x14ac:dyDescent="0.25">
      <c r="A590">
        <v>12</v>
      </c>
      <c r="B590">
        <v>2017</v>
      </c>
      <c r="C590" s="5">
        <v>42839</v>
      </c>
      <c r="D590" t="s">
        <v>172</v>
      </c>
      <c r="E590" t="s">
        <v>46</v>
      </c>
      <c r="F590" t="s">
        <v>35</v>
      </c>
      <c r="G590" t="s">
        <v>35</v>
      </c>
      <c r="H590" t="s">
        <v>173</v>
      </c>
      <c r="I590" t="s">
        <v>174</v>
      </c>
      <c r="J590">
        <v>0</v>
      </c>
      <c r="K590" t="s">
        <v>35</v>
      </c>
      <c r="L590">
        <v>0</v>
      </c>
      <c r="M590">
        <v>4</v>
      </c>
      <c r="N590" t="s">
        <v>268</v>
      </c>
      <c r="O590" t="s">
        <v>92</v>
      </c>
      <c r="P590" t="str">
        <f>INDEX(Teams!$B:$B,MATCH(E590,Teams!$A:$A,0))</f>
        <v>Royal Challengers Bangalore</v>
      </c>
      <c r="Q590" t="str">
        <f>INDEX(Teams!$B:$B,MATCH(F590,Teams!$A:$A,0))</f>
        <v>Mumbai Indians</v>
      </c>
      <c r="R590" t="str">
        <f>INDEX(Teams!$B:$B,MATCH(G590,Teams!$A:$A,0))</f>
        <v>Mumbai Indians</v>
      </c>
      <c r="S590" t="str">
        <f>IF(K590="","No result",INDEX(Teams!$B:$B,MATCH(K590,Teams!$A:$A,0)))</f>
        <v>Mumbai Indians</v>
      </c>
      <c r="T590" t="str">
        <f>INDEX(Venues!$B:$B,MATCH(O590,Venues!$A:$A,0))</f>
        <v>M Chinnaswamy Stadium</v>
      </c>
      <c r="U590" t="str">
        <f>INDEX(Venues!$C:$C,MATCH(O590,Venues!$A:$A,0))</f>
        <v>Bangalore</v>
      </c>
      <c r="V590" t="str">
        <f>IF(L590&gt;0,L590&amp;" runs",IF(M590&gt;0,M590&amp;" wickets","-"))</f>
        <v>4 wickets</v>
      </c>
      <c r="W590">
        <f>IF(G590=K590,1,0)</f>
        <v>1</v>
      </c>
      <c r="X590">
        <f>IF(L590&gt;0,L590,"")</f>
        <v/>
      </c>
      <c r="Y590">
        <f>IF(X590="","",IF(X590&gt;Stats!$B$15,"Outlier",""))</f>
        <v/>
      </c>
      <c r="Z590" t="str">
        <f>P590&amp;" vs "&amp;Q590</f>
        <v>Royal Challengers Bangalore vs Mumbai Indians</v>
      </c>
    </row>
    <row r="591" spans="1:26" x14ac:dyDescent="0.25">
      <c r="A591">
        <v>13</v>
      </c>
      <c r="B591">
        <v>2017</v>
      </c>
      <c r="C591" s="5">
        <v>42839</v>
      </c>
      <c r="D591" t="s">
        <v>172</v>
      </c>
      <c r="E591" t="s">
        <v>44</v>
      </c>
      <c r="F591" t="s">
        <v>23</v>
      </c>
      <c r="G591" t="s">
        <v>23</v>
      </c>
      <c r="H591" t="s">
        <v>173</v>
      </c>
      <c r="I591" t="s">
        <v>174</v>
      </c>
      <c r="J591">
        <v>0</v>
      </c>
      <c r="K591" t="s">
        <v>23</v>
      </c>
      <c r="L591">
        <v>0</v>
      </c>
      <c r="M591">
        <v>7</v>
      </c>
      <c r="N591" t="s">
        <v>370</v>
      </c>
      <c r="O591" t="s">
        <v>116</v>
      </c>
      <c r="P591" t="str">
        <f>INDEX(Teams!$B:$B,MATCH(E591,Teams!$A:$A,0))</f>
        <v>Rising Pune Supergiant</v>
      </c>
      <c r="Q591" t="str">
        <f>INDEX(Teams!$B:$B,MATCH(F591,Teams!$A:$A,0))</f>
        <v>Gujarat Lions</v>
      </c>
      <c r="R591" t="str">
        <f>INDEX(Teams!$B:$B,MATCH(G591,Teams!$A:$A,0))</f>
        <v>Gujarat Lions</v>
      </c>
      <c r="S591" t="str">
        <f>IF(K591="","No result",INDEX(Teams!$B:$B,MATCH(K591,Teams!$A:$A,0)))</f>
        <v>Gujarat Lions</v>
      </c>
      <c r="T591" t="str">
        <f>INDEX(Venues!$B:$B,MATCH(O591,Venues!$A:$A,0))</f>
        <v>Saurashtra Cricket Association Stadium</v>
      </c>
      <c r="U591" t="str">
        <f>INDEX(Venues!$C:$C,MATCH(O591,Venues!$A:$A,0))</f>
        <v>Rajkot</v>
      </c>
      <c r="V591" t="str">
        <f>IF(L591&gt;0,L591&amp;" runs",IF(M591&gt;0,M591&amp;" wickets","-"))</f>
        <v>7 wickets</v>
      </c>
      <c r="W591">
        <f>IF(G591=K591,1,0)</f>
        <v>1</v>
      </c>
      <c r="X591">
        <f>IF(L591&gt;0,L591,"")</f>
        <v/>
      </c>
      <c r="Y591">
        <f>IF(X591="","",IF(X591&gt;Stats!$B$15,"Outlier",""))</f>
        <v/>
      </c>
      <c r="Z591" t="str">
        <f>P591&amp;" vs "&amp;Q591</f>
        <v>Rising Pune Supergiant vs Gujarat Lions</v>
      </c>
    </row>
    <row r="592" spans="1:26" x14ac:dyDescent="0.25">
      <c r="A592">
        <v>14</v>
      </c>
      <c r="B592">
        <v>2017</v>
      </c>
      <c r="C592" s="5">
        <v>42840</v>
      </c>
      <c r="D592" t="s">
        <v>172</v>
      </c>
      <c r="E592" t="s">
        <v>32</v>
      </c>
      <c r="F592" t="s">
        <v>49</v>
      </c>
      <c r="G592" t="s">
        <v>49</v>
      </c>
      <c r="H592" t="s">
        <v>173</v>
      </c>
      <c r="I592" t="s">
        <v>174</v>
      </c>
      <c r="J592">
        <v>0</v>
      </c>
      <c r="K592" t="s">
        <v>32</v>
      </c>
      <c r="L592">
        <v>17</v>
      </c>
      <c r="M592">
        <v>0</v>
      </c>
      <c r="N592" t="s">
        <v>253</v>
      </c>
      <c r="O592" t="s">
        <v>73</v>
      </c>
      <c r="P592" t="str">
        <f>INDEX(Teams!$B:$B,MATCH(E592,Teams!$A:$A,0))</f>
        <v>Kolkata Knight Riders</v>
      </c>
      <c r="Q592" t="str">
        <f>INDEX(Teams!$B:$B,MATCH(F592,Teams!$A:$A,0))</f>
        <v>Sunrisers Hyderabad</v>
      </c>
      <c r="R592" t="str">
        <f>INDEX(Teams!$B:$B,MATCH(G592,Teams!$A:$A,0))</f>
        <v>Sunrisers Hyderabad</v>
      </c>
      <c r="S592" t="str">
        <f>IF(K592="","No result",INDEX(Teams!$B:$B,MATCH(K592,Teams!$A:$A,0)))</f>
        <v>Kolkata Knight Riders</v>
      </c>
      <c r="T592" t="str">
        <f>INDEX(Venues!$B:$B,MATCH(O592,Venues!$A:$A,0))</f>
        <v>Eden Gardens</v>
      </c>
      <c r="U592" t="str">
        <f>INDEX(Venues!$C:$C,MATCH(O592,Venues!$A:$A,0))</f>
        <v>Kolkata</v>
      </c>
      <c r="V592" t="str">
        <f>IF(L592&gt;0,L592&amp;" runs",IF(M592&gt;0,M592&amp;" wickets","-"))</f>
        <v>17 runs</v>
      </c>
      <c r="W592">
        <f>IF(G592=K592,1,0)</f>
        <v>0</v>
      </c>
      <c r="X592">
        <f>IF(L592&gt;0,L592,"")</f>
        <v>17</v>
      </c>
      <c r="Y592">
        <f>IF(X592="","",IF(X592&gt;Stats!$B$15,"Outlier",""))</f>
        <v/>
      </c>
      <c r="Z592" t="str">
        <f>P592&amp;" vs "&amp;Q592</f>
        <v>Kolkata Knight Riders vs Sunrisers Hyderabad</v>
      </c>
    </row>
    <row r="593" spans="1:26" x14ac:dyDescent="0.25">
      <c r="A593">
        <v>15</v>
      </c>
      <c r="B593">
        <v>2017</v>
      </c>
      <c r="C593" s="5">
        <v>42840</v>
      </c>
      <c r="D593" t="s">
        <v>172</v>
      </c>
      <c r="E593" t="s">
        <v>20</v>
      </c>
      <c r="F593" t="s">
        <v>26</v>
      </c>
      <c r="G593" t="s">
        <v>20</v>
      </c>
      <c r="H593" t="s">
        <v>176</v>
      </c>
      <c r="I593" t="s">
        <v>174</v>
      </c>
      <c r="J593">
        <v>0</v>
      </c>
      <c r="K593" t="s">
        <v>20</v>
      </c>
      <c r="L593">
        <v>51</v>
      </c>
      <c r="M593">
        <v>0</v>
      </c>
      <c r="N593" t="s">
        <v>337</v>
      </c>
      <c r="O593" t="s">
        <v>75</v>
      </c>
      <c r="P593" t="str">
        <f>INDEX(Teams!$B:$B,MATCH(E593,Teams!$A:$A,0))</f>
        <v>Delhi Capitals</v>
      </c>
      <c r="Q593" t="str">
        <f>INDEX(Teams!$B:$B,MATCH(F593,Teams!$A:$A,0))</f>
        <v>Kings XI Punjab</v>
      </c>
      <c r="R593" t="str">
        <f>INDEX(Teams!$B:$B,MATCH(G593,Teams!$A:$A,0))</f>
        <v>Delhi Capitals</v>
      </c>
      <c r="S593" t="str">
        <f>IF(K593="","No result",INDEX(Teams!$B:$B,MATCH(K593,Teams!$A:$A,0)))</f>
        <v>Delhi Capitals</v>
      </c>
      <c r="T593" t="str">
        <f>INDEX(Venues!$B:$B,MATCH(O593,Venues!$A:$A,0))</f>
        <v>Feroz Shah Kotla</v>
      </c>
      <c r="U593" t="str">
        <f>INDEX(Venues!$C:$C,MATCH(O593,Venues!$A:$A,0))</f>
        <v>Delhi</v>
      </c>
      <c r="V593" t="str">
        <f>IF(L593&gt;0,L593&amp;" runs",IF(M593&gt;0,M593&amp;" wickets","-"))</f>
        <v>51 runs</v>
      </c>
      <c r="W593">
        <f>IF(G593=K593,1,0)</f>
        <v>1</v>
      </c>
      <c r="X593">
        <f>IF(L593&gt;0,L593,"")</f>
        <v>51</v>
      </c>
      <c r="Y593">
        <f>IF(X593="","",IF(X593&gt;Stats!$B$15,"Outlier",""))</f>
        <v/>
      </c>
      <c r="Z593" t="str">
        <f>P593&amp;" vs "&amp;Q593</f>
        <v>Delhi Capitals vs Kings XI Punjab</v>
      </c>
    </row>
    <row r="594" spans="1:26" x14ac:dyDescent="0.25">
      <c r="A594">
        <v>16</v>
      </c>
      <c r="B594">
        <v>2017</v>
      </c>
      <c r="C594" s="5">
        <v>42841</v>
      </c>
      <c r="D594" t="s">
        <v>172</v>
      </c>
      <c r="E594" t="s">
        <v>23</v>
      </c>
      <c r="F594" t="s">
        <v>35</v>
      </c>
      <c r="G594" t="s">
        <v>35</v>
      </c>
      <c r="H594" t="s">
        <v>173</v>
      </c>
      <c r="I594" t="s">
        <v>174</v>
      </c>
      <c r="J594">
        <v>0</v>
      </c>
      <c r="K594" t="s">
        <v>35</v>
      </c>
      <c r="L594">
        <v>0</v>
      </c>
      <c r="M594">
        <v>6</v>
      </c>
      <c r="N594" t="s">
        <v>368</v>
      </c>
      <c r="O594" t="s">
        <v>138</v>
      </c>
      <c r="P594" t="str">
        <f>INDEX(Teams!$B:$B,MATCH(E594,Teams!$A:$A,0))</f>
        <v>Gujarat Lions</v>
      </c>
      <c r="Q594" t="str">
        <f>INDEX(Teams!$B:$B,MATCH(F594,Teams!$A:$A,0))</f>
        <v>Mumbai Indians</v>
      </c>
      <c r="R594" t="str">
        <f>INDEX(Teams!$B:$B,MATCH(G594,Teams!$A:$A,0))</f>
        <v>Mumbai Indians</v>
      </c>
      <c r="S594" t="str">
        <f>IF(K594="","No result",INDEX(Teams!$B:$B,MATCH(K594,Teams!$A:$A,0)))</f>
        <v>Mumbai Indians</v>
      </c>
      <c r="T594" t="str">
        <f>INDEX(Venues!$B:$B,MATCH(O594,Venues!$A:$A,0))</f>
        <v>Wankhede Stadium</v>
      </c>
      <c r="U594" t="str">
        <f>INDEX(Venues!$C:$C,MATCH(O594,Venues!$A:$A,0))</f>
        <v>Mumbai</v>
      </c>
      <c r="V594" t="str">
        <f>IF(L594&gt;0,L594&amp;" runs",IF(M594&gt;0,M594&amp;" wickets","-"))</f>
        <v>6 wickets</v>
      </c>
      <c r="W594">
        <f>IF(G594=K594,1,0)</f>
        <v>1</v>
      </c>
      <c r="X594">
        <f>IF(L594&gt;0,L594,"")</f>
        <v/>
      </c>
      <c r="Y594">
        <f>IF(X594="","",IF(X594&gt;Stats!$B$15,"Outlier",""))</f>
        <v/>
      </c>
      <c r="Z594" t="str">
        <f>P594&amp;" vs "&amp;Q594</f>
        <v>Gujarat Lions vs Mumbai Indians</v>
      </c>
    </row>
    <row r="595" spans="1:26" x14ac:dyDescent="0.25">
      <c r="A595">
        <v>17</v>
      </c>
      <c r="B595">
        <v>2017</v>
      </c>
      <c r="C595" s="5">
        <v>42841</v>
      </c>
      <c r="D595" t="s">
        <v>172</v>
      </c>
      <c r="E595" t="s">
        <v>44</v>
      </c>
      <c r="F595" t="s">
        <v>46</v>
      </c>
      <c r="G595" t="s">
        <v>46</v>
      </c>
      <c r="H595" t="s">
        <v>173</v>
      </c>
      <c r="I595" t="s">
        <v>174</v>
      </c>
      <c r="J595">
        <v>0</v>
      </c>
      <c r="K595" t="s">
        <v>44</v>
      </c>
      <c r="L595">
        <v>27</v>
      </c>
      <c r="M595">
        <v>0</v>
      </c>
      <c r="N595" t="s">
        <v>371</v>
      </c>
      <c r="O595" t="s">
        <v>92</v>
      </c>
      <c r="P595" t="str">
        <f>INDEX(Teams!$B:$B,MATCH(E595,Teams!$A:$A,0))</f>
        <v>Rising Pune Supergiant</v>
      </c>
      <c r="Q595" t="str">
        <f>INDEX(Teams!$B:$B,MATCH(F595,Teams!$A:$A,0))</f>
        <v>Royal Challengers Bangalore</v>
      </c>
      <c r="R595" t="str">
        <f>INDEX(Teams!$B:$B,MATCH(G595,Teams!$A:$A,0))</f>
        <v>Royal Challengers Bangalore</v>
      </c>
      <c r="S595" t="str">
        <f>IF(K595="","No result",INDEX(Teams!$B:$B,MATCH(K595,Teams!$A:$A,0)))</f>
        <v>Rising Pune Supergiant</v>
      </c>
      <c r="T595" t="str">
        <f>INDEX(Venues!$B:$B,MATCH(O595,Venues!$A:$A,0))</f>
        <v>M Chinnaswamy Stadium</v>
      </c>
      <c r="U595" t="str">
        <f>INDEX(Venues!$C:$C,MATCH(O595,Venues!$A:$A,0))</f>
        <v>Bangalore</v>
      </c>
      <c r="V595" t="str">
        <f>IF(L595&gt;0,L595&amp;" runs",IF(M595&gt;0,M595&amp;" wickets","-"))</f>
        <v>27 runs</v>
      </c>
      <c r="W595">
        <f>IF(G595=K595,1,0)</f>
        <v>0</v>
      </c>
      <c r="X595">
        <f>IF(L595&gt;0,L595,"")</f>
        <v>27</v>
      </c>
      <c r="Y595">
        <f>IF(X595="","",IF(X595&gt;Stats!$B$15,"Outlier",""))</f>
        <v/>
      </c>
      <c r="Z595" t="str">
        <f>P595&amp;" vs "&amp;Q595</f>
        <v>Rising Pune Supergiant vs Royal Challengers Bangalore</v>
      </c>
    </row>
    <row r="596" spans="1:26" x14ac:dyDescent="0.25">
      <c r="A596">
        <v>18</v>
      </c>
      <c r="B596">
        <v>2017</v>
      </c>
      <c r="C596" s="5">
        <v>42842</v>
      </c>
      <c r="D596" t="s">
        <v>172</v>
      </c>
      <c r="E596" t="s">
        <v>20</v>
      </c>
      <c r="F596" t="s">
        <v>32</v>
      </c>
      <c r="G596" t="s">
        <v>20</v>
      </c>
      <c r="H596" t="s">
        <v>176</v>
      </c>
      <c r="I596" t="s">
        <v>174</v>
      </c>
      <c r="J596">
        <v>0</v>
      </c>
      <c r="K596" t="s">
        <v>32</v>
      </c>
      <c r="L596">
        <v>0</v>
      </c>
      <c r="M596">
        <v>4</v>
      </c>
      <c r="N596" t="s">
        <v>349</v>
      </c>
      <c r="O596" t="s">
        <v>75</v>
      </c>
      <c r="P596" t="str">
        <f>INDEX(Teams!$B:$B,MATCH(E596,Teams!$A:$A,0))</f>
        <v>Delhi Capitals</v>
      </c>
      <c r="Q596" t="str">
        <f>INDEX(Teams!$B:$B,MATCH(F596,Teams!$A:$A,0))</f>
        <v>Kolkata Knight Riders</v>
      </c>
      <c r="R596" t="str">
        <f>INDEX(Teams!$B:$B,MATCH(G596,Teams!$A:$A,0))</f>
        <v>Delhi Capitals</v>
      </c>
      <c r="S596" t="str">
        <f>IF(K596="","No result",INDEX(Teams!$B:$B,MATCH(K596,Teams!$A:$A,0)))</f>
        <v>Kolkata Knight Riders</v>
      </c>
      <c r="T596" t="str">
        <f>INDEX(Venues!$B:$B,MATCH(O596,Venues!$A:$A,0))</f>
        <v>Feroz Shah Kotla</v>
      </c>
      <c r="U596" t="str">
        <f>INDEX(Venues!$C:$C,MATCH(O596,Venues!$A:$A,0))</f>
        <v>Delhi</v>
      </c>
      <c r="V596" t="str">
        <f>IF(L596&gt;0,L596&amp;" runs",IF(M596&gt;0,M596&amp;" wickets","-"))</f>
        <v>4 wickets</v>
      </c>
      <c r="W596">
        <f>IF(G596=K596,1,0)</f>
        <v>0</v>
      </c>
      <c r="X596">
        <f>IF(L596&gt;0,L596,"")</f>
        <v/>
      </c>
      <c r="Y596">
        <f>IF(X596="","",IF(X596&gt;Stats!$B$15,"Outlier",""))</f>
        <v/>
      </c>
      <c r="Z596" t="str">
        <f>P596&amp;" vs "&amp;Q596</f>
        <v>Delhi Capitals vs Kolkata Knight Riders</v>
      </c>
    </row>
    <row r="597" spans="1:26" x14ac:dyDescent="0.25">
      <c r="A597">
        <v>19</v>
      </c>
      <c r="B597">
        <v>2017</v>
      </c>
      <c r="C597" s="5">
        <v>42842</v>
      </c>
      <c r="D597" t="s">
        <v>172</v>
      </c>
      <c r="E597" t="s">
        <v>49</v>
      </c>
      <c r="F597" t="s">
        <v>26</v>
      </c>
      <c r="G597" t="s">
        <v>26</v>
      </c>
      <c r="H597" t="s">
        <v>173</v>
      </c>
      <c r="I597" t="s">
        <v>174</v>
      </c>
      <c r="J597">
        <v>0</v>
      </c>
      <c r="K597" t="s">
        <v>49</v>
      </c>
      <c r="L597">
        <v>5</v>
      </c>
      <c r="M597">
        <v>0</v>
      </c>
      <c r="N597" t="s">
        <v>336</v>
      </c>
      <c r="O597" t="s">
        <v>111</v>
      </c>
      <c r="P597" t="str">
        <f>INDEX(Teams!$B:$B,MATCH(E597,Teams!$A:$A,0))</f>
        <v>Sunrisers Hyderabad</v>
      </c>
      <c r="Q597" t="str">
        <f>INDEX(Teams!$B:$B,MATCH(F597,Teams!$A:$A,0))</f>
        <v>Kings XI Punjab</v>
      </c>
      <c r="R597" t="str">
        <f>INDEX(Teams!$B:$B,MATCH(G597,Teams!$A:$A,0))</f>
        <v>Kings XI Punjab</v>
      </c>
      <c r="S597" t="str">
        <f>IF(K597="","No result",INDEX(Teams!$B:$B,MATCH(K597,Teams!$A:$A,0)))</f>
        <v>Sunrisers Hyderabad</v>
      </c>
      <c r="T597" t="str">
        <f>INDEX(Venues!$B:$B,MATCH(O597,Venues!$A:$A,0))</f>
        <v>Rajiv Gandhi International Stadium</v>
      </c>
      <c r="U597" t="str">
        <f>INDEX(Venues!$C:$C,MATCH(O597,Venues!$A:$A,0))</f>
        <v>Hyderabad</v>
      </c>
      <c r="V597" t="str">
        <f>IF(L597&gt;0,L597&amp;" runs",IF(M597&gt;0,M597&amp;" wickets","-"))</f>
        <v>5 runs</v>
      </c>
      <c r="W597">
        <f>IF(G597=K597,1,0)</f>
        <v>0</v>
      </c>
      <c r="X597">
        <f>IF(L597&gt;0,L597,"")</f>
        <v>5</v>
      </c>
      <c r="Y597">
        <f>IF(X597="","",IF(X597&gt;Stats!$B$15,"Outlier",""))</f>
        <v/>
      </c>
      <c r="Z597" t="str">
        <f>P597&amp;" vs "&amp;Q597</f>
        <v>Sunrisers Hyderabad vs Kings XI Punjab</v>
      </c>
    </row>
    <row r="598" spans="1:26" x14ac:dyDescent="0.25">
      <c r="A598">
        <v>20</v>
      </c>
      <c r="B598">
        <v>2017</v>
      </c>
      <c r="C598" s="5">
        <v>42843</v>
      </c>
      <c r="D598" t="s">
        <v>172</v>
      </c>
      <c r="E598" t="s">
        <v>46</v>
      </c>
      <c r="F598" t="s">
        <v>23</v>
      </c>
      <c r="G598" t="s">
        <v>23</v>
      </c>
      <c r="H598" t="s">
        <v>173</v>
      </c>
      <c r="I598" t="s">
        <v>174</v>
      </c>
      <c r="J598">
        <v>0</v>
      </c>
      <c r="K598" t="s">
        <v>46</v>
      </c>
      <c r="L598">
        <v>21</v>
      </c>
      <c r="M598">
        <v>0</v>
      </c>
      <c r="N598" t="s">
        <v>222</v>
      </c>
      <c r="O598" t="s">
        <v>116</v>
      </c>
      <c r="P598" t="str">
        <f>INDEX(Teams!$B:$B,MATCH(E598,Teams!$A:$A,0))</f>
        <v>Royal Challengers Bangalore</v>
      </c>
      <c r="Q598" t="str">
        <f>INDEX(Teams!$B:$B,MATCH(F598,Teams!$A:$A,0))</f>
        <v>Gujarat Lions</v>
      </c>
      <c r="R598" t="str">
        <f>INDEX(Teams!$B:$B,MATCH(G598,Teams!$A:$A,0))</f>
        <v>Gujarat Lions</v>
      </c>
      <c r="S598" t="str">
        <f>IF(K598="","No result",INDEX(Teams!$B:$B,MATCH(K598,Teams!$A:$A,0)))</f>
        <v>Royal Challengers Bangalore</v>
      </c>
      <c r="T598" t="str">
        <f>INDEX(Venues!$B:$B,MATCH(O598,Venues!$A:$A,0))</f>
        <v>Saurashtra Cricket Association Stadium</v>
      </c>
      <c r="U598" t="str">
        <f>INDEX(Venues!$C:$C,MATCH(O598,Venues!$A:$A,0))</f>
        <v>Rajkot</v>
      </c>
      <c r="V598" t="str">
        <f>IF(L598&gt;0,L598&amp;" runs",IF(M598&gt;0,M598&amp;" wickets","-"))</f>
        <v>21 runs</v>
      </c>
      <c r="W598">
        <f>IF(G598=K598,1,0)</f>
        <v>0</v>
      </c>
      <c r="X598">
        <f>IF(L598&gt;0,L598,"")</f>
        <v>21</v>
      </c>
      <c r="Y598">
        <f>IF(X598="","",IF(X598&gt;Stats!$B$15,"Outlier",""))</f>
        <v/>
      </c>
      <c r="Z598" t="str">
        <f>P598&amp;" vs "&amp;Q598</f>
        <v>Royal Challengers Bangalore vs Gujarat Lions</v>
      </c>
    </row>
    <row r="599" spans="1:26" x14ac:dyDescent="0.25">
      <c r="A599">
        <v>21</v>
      </c>
      <c r="B599">
        <v>2017</v>
      </c>
      <c r="C599" s="5">
        <v>42844</v>
      </c>
      <c r="D599" t="s">
        <v>172</v>
      </c>
      <c r="E599" t="s">
        <v>49</v>
      </c>
      <c r="F599" t="s">
        <v>20</v>
      </c>
      <c r="G599" t="s">
        <v>49</v>
      </c>
      <c r="H599" t="s">
        <v>176</v>
      </c>
      <c r="I599" t="s">
        <v>174</v>
      </c>
      <c r="J599">
        <v>0</v>
      </c>
      <c r="K599" t="s">
        <v>49</v>
      </c>
      <c r="L599">
        <v>15</v>
      </c>
      <c r="M599">
        <v>0</v>
      </c>
      <c r="N599" t="s">
        <v>372</v>
      </c>
      <c r="O599" t="s">
        <v>111</v>
      </c>
      <c r="P599" t="str">
        <f>INDEX(Teams!$B:$B,MATCH(E599,Teams!$A:$A,0))</f>
        <v>Sunrisers Hyderabad</v>
      </c>
      <c r="Q599" t="str">
        <f>INDEX(Teams!$B:$B,MATCH(F599,Teams!$A:$A,0))</f>
        <v>Delhi Capitals</v>
      </c>
      <c r="R599" t="str">
        <f>INDEX(Teams!$B:$B,MATCH(G599,Teams!$A:$A,0))</f>
        <v>Sunrisers Hyderabad</v>
      </c>
      <c r="S599" t="str">
        <f>IF(K599="","No result",INDEX(Teams!$B:$B,MATCH(K599,Teams!$A:$A,0)))</f>
        <v>Sunrisers Hyderabad</v>
      </c>
      <c r="T599" t="str">
        <f>INDEX(Venues!$B:$B,MATCH(O599,Venues!$A:$A,0))</f>
        <v>Rajiv Gandhi International Stadium</v>
      </c>
      <c r="U599" t="str">
        <f>INDEX(Venues!$C:$C,MATCH(O599,Venues!$A:$A,0))</f>
        <v>Hyderabad</v>
      </c>
      <c r="V599" t="str">
        <f>IF(L599&gt;0,L599&amp;" runs",IF(M599&gt;0,M599&amp;" wickets","-"))</f>
        <v>15 runs</v>
      </c>
      <c r="W599">
        <f>IF(G599=K599,1,0)</f>
        <v>1</v>
      </c>
      <c r="X599">
        <f>IF(L599&gt;0,L599,"")</f>
        <v>15</v>
      </c>
      <c r="Y599">
        <f>IF(X599="","",IF(X599&gt;Stats!$B$15,"Outlier",""))</f>
        <v/>
      </c>
      <c r="Z599" t="str">
        <f>P599&amp;" vs "&amp;Q599</f>
        <v>Sunrisers Hyderabad vs Delhi Capitals</v>
      </c>
    </row>
    <row r="600" spans="1:26" x14ac:dyDescent="0.25">
      <c r="A600">
        <v>22</v>
      </c>
      <c r="B600">
        <v>2017</v>
      </c>
      <c r="C600" s="5">
        <v>42845</v>
      </c>
      <c r="D600" t="s">
        <v>172</v>
      </c>
      <c r="E600" t="s">
        <v>26</v>
      </c>
      <c r="F600" t="s">
        <v>35</v>
      </c>
      <c r="G600" t="s">
        <v>35</v>
      </c>
      <c r="H600" t="s">
        <v>173</v>
      </c>
      <c r="I600" t="s">
        <v>174</v>
      </c>
      <c r="J600">
        <v>0</v>
      </c>
      <c r="K600" t="s">
        <v>35</v>
      </c>
      <c r="L600">
        <v>0</v>
      </c>
      <c r="M600">
        <v>8</v>
      </c>
      <c r="N600" t="s">
        <v>373</v>
      </c>
      <c r="O600" t="s">
        <v>83</v>
      </c>
      <c r="P600" t="str">
        <f>INDEX(Teams!$B:$B,MATCH(E600,Teams!$A:$A,0))</f>
        <v>Kings XI Punjab</v>
      </c>
      <c r="Q600" t="str">
        <f>INDEX(Teams!$B:$B,MATCH(F600,Teams!$A:$A,0))</f>
        <v>Mumbai Indians</v>
      </c>
      <c r="R600" t="str">
        <f>INDEX(Teams!$B:$B,MATCH(G600,Teams!$A:$A,0))</f>
        <v>Mumbai Indians</v>
      </c>
      <c r="S600" t="str">
        <f>IF(K600="","No result",INDEX(Teams!$B:$B,MATCH(K600,Teams!$A:$A,0)))</f>
        <v>Mumbai Indians</v>
      </c>
      <c r="T600" t="str">
        <f>INDEX(Venues!$B:$B,MATCH(O600,Venues!$A:$A,0))</f>
        <v>Holkar Cricket Stadium</v>
      </c>
      <c r="U600" t="str">
        <f>INDEX(Venues!$C:$C,MATCH(O600,Venues!$A:$A,0))</f>
        <v>Indore</v>
      </c>
      <c r="V600" t="str">
        <f>IF(L600&gt;0,L600&amp;" runs",IF(M600&gt;0,M600&amp;" wickets","-"))</f>
        <v>8 wickets</v>
      </c>
      <c r="W600">
        <f>IF(G600=K600,1,0)</f>
        <v>1</v>
      </c>
      <c r="X600">
        <f>IF(L600&gt;0,L600,"")</f>
        <v/>
      </c>
      <c r="Y600">
        <f>IF(X600="","",IF(X600&gt;Stats!$B$15,"Outlier",""))</f>
        <v/>
      </c>
      <c r="Z600" t="str">
        <f>P600&amp;" vs "&amp;Q600</f>
        <v>Kings XI Punjab vs Mumbai Indians</v>
      </c>
    </row>
    <row r="601" spans="1:26" x14ac:dyDescent="0.25">
      <c r="A601">
        <v>23</v>
      </c>
      <c r="B601">
        <v>2017</v>
      </c>
      <c r="C601" s="5">
        <v>42846</v>
      </c>
      <c r="D601" t="s">
        <v>172</v>
      </c>
      <c r="E601" t="s">
        <v>32</v>
      </c>
      <c r="F601" t="s">
        <v>23</v>
      </c>
      <c r="G601" t="s">
        <v>23</v>
      </c>
      <c r="H601" t="s">
        <v>173</v>
      </c>
      <c r="I601" t="s">
        <v>174</v>
      </c>
      <c r="J601">
        <v>0</v>
      </c>
      <c r="K601" t="s">
        <v>23</v>
      </c>
      <c r="L601">
        <v>0</v>
      </c>
      <c r="M601">
        <v>4</v>
      </c>
      <c r="N601" t="s">
        <v>214</v>
      </c>
      <c r="O601" t="s">
        <v>73</v>
      </c>
      <c r="P601" t="str">
        <f>INDEX(Teams!$B:$B,MATCH(E601,Teams!$A:$A,0))</f>
        <v>Kolkata Knight Riders</v>
      </c>
      <c r="Q601" t="str">
        <f>INDEX(Teams!$B:$B,MATCH(F601,Teams!$A:$A,0))</f>
        <v>Gujarat Lions</v>
      </c>
      <c r="R601" t="str">
        <f>INDEX(Teams!$B:$B,MATCH(G601,Teams!$A:$A,0))</f>
        <v>Gujarat Lions</v>
      </c>
      <c r="S601" t="str">
        <f>IF(K601="","No result",INDEX(Teams!$B:$B,MATCH(K601,Teams!$A:$A,0)))</f>
        <v>Gujarat Lions</v>
      </c>
      <c r="T601" t="str">
        <f>INDEX(Venues!$B:$B,MATCH(O601,Venues!$A:$A,0))</f>
        <v>Eden Gardens</v>
      </c>
      <c r="U601" t="str">
        <f>INDEX(Venues!$C:$C,MATCH(O601,Venues!$A:$A,0))</f>
        <v>Kolkata</v>
      </c>
      <c r="V601" t="str">
        <f>IF(L601&gt;0,L601&amp;" runs",IF(M601&gt;0,M601&amp;" wickets","-"))</f>
        <v>4 wickets</v>
      </c>
      <c r="W601">
        <f>IF(G601=K601,1,0)</f>
        <v>1</v>
      </c>
      <c r="X601">
        <f>IF(L601&gt;0,L601,"")</f>
        <v/>
      </c>
      <c r="Y601">
        <f>IF(X601="","",IF(X601&gt;Stats!$B$15,"Outlier",""))</f>
        <v/>
      </c>
      <c r="Z601" t="str">
        <f>P601&amp;" vs "&amp;Q601</f>
        <v>Kolkata Knight Riders vs Gujarat Lions</v>
      </c>
    </row>
    <row r="602" spans="1:26" x14ac:dyDescent="0.25">
      <c r="A602">
        <v>24</v>
      </c>
      <c r="B602">
        <v>2017</v>
      </c>
      <c r="C602" s="5">
        <v>42847</v>
      </c>
      <c r="D602" t="s">
        <v>172</v>
      </c>
      <c r="E602" t="s">
        <v>35</v>
      </c>
      <c r="F602" t="s">
        <v>20</v>
      </c>
      <c r="G602" t="s">
        <v>20</v>
      </c>
      <c r="H602" t="s">
        <v>173</v>
      </c>
      <c r="I602" t="s">
        <v>174</v>
      </c>
      <c r="J602">
        <v>0</v>
      </c>
      <c r="K602" t="s">
        <v>35</v>
      </c>
      <c r="L602">
        <v>14</v>
      </c>
      <c r="M602">
        <v>0</v>
      </c>
      <c r="N602" t="s">
        <v>354</v>
      </c>
      <c r="O602" t="s">
        <v>138</v>
      </c>
      <c r="P602" t="str">
        <f>INDEX(Teams!$B:$B,MATCH(E602,Teams!$A:$A,0))</f>
        <v>Mumbai Indians</v>
      </c>
      <c r="Q602" t="str">
        <f>INDEX(Teams!$B:$B,MATCH(F602,Teams!$A:$A,0))</f>
        <v>Delhi Capitals</v>
      </c>
      <c r="R602" t="str">
        <f>INDEX(Teams!$B:$B,MATCH(G602,Teams!$A:$A,0))</f>
        <v>Delhi Capitals</v>
      </c>
      <c r="S602" t="str">
        <f>IF(K602="","No result",INDEX(Teams!$B:$B,MATCH(K602,Teams!$A:$A,0)))</f>
        <v>Mumbai Indians</v>
      </c>
      <c r="T602" t="str">
        <f>INDEX(Venues!$B:$B,MATCH(O602,Venues!$A:$A,0))</f>
        <v>Wankhede Stadium</v>
      </c>
      <c r="U602" t="str">
        <f>INDEX(Venues!$C:$C,MATCH(O602,Venues!$A:$A,0))</f>
        <v>Mumbai</v>
      </c>
      <c r="V602" t="str">
        <f>IF(L602&gt;0,L602&amp;" runs",IF(M602&gt;0,M602&amp;" wickets","-"))</f>
        <v>14 runs</v>
      </c>
      <c r="W602">
        <f>IF(G602=K602,1,0)</f>
        <v>0</v>
      </c>
      <c r="X602">
        <f>IF(L602&gt;0,L602,"")</f>
        <v>14</v>
      </c>
      <c r="Y602">
        <f>IF(X602="","",IF(X602&gt;Stats!$B$15,"Outlier",""))</f>
        <v/>
      </c>
      <c r="Z602" t="str">
        <f>P602&amp;" vs "&amp;Q602</f>
        <v>Mumbai Indians vs Delhi Capitals</v>
      </c>
    </row>
    <row r="603" spans="1:26" x14ac:dyDescent="0.25">
      <c r="A603">
        <v>25</v>
      </c>
      <c r="B603">
        <v>2017</v>
      </c>
      <c r="C603" s="5">
        <v>42847</v>
      </c>
      <c r="D603" t="s">
        <v>172</v>
      </c>
      <c r="E603" t="s">
        <v>49</v>
      </c>
      <c r="F603" t="s">
        <v>44</v>
      </c>
      <c r="G603" t="s">
        <v>44</v>
      </c>
      <c r="H603" t="s">
        <v>173</v>
      </c>
      <c r="I603" t="s">
        <v>174</v>
      </c>
      <c r="J603">
        <v>0</v>
      </c>
      <c r="K603" t="s">
        <v>44</v>
      </c>
      <c r="L603">
        <v>0</v>
      </c>
      <c r="M603">
        <v>6</v>
      </c>
      <c r="N603" t="s">
        <v>189</v>
      </c>
      <c r="O603" t="s">
        <v>96</v>
      </c>
      <c r="P603" t="str">
        <f>INDEX(Teams!$B:$B,MATCH(E603,Teams!$A:$A,0))</f>
        <v>Sunrisers Hyderabad</v>
      </c>
      <c r="Q603" t="str">
        <f>INDEX(Teams!$B:$B,MATCH(F603,Teams!$A:$A,0))</f>
        <v>Rising Pune Supergiant</v>
      </c>
      <c r="R603" t="str">
        <f>INDEX(Teams!$B:$B,MATCH(G603,Teams!$A:$A,0))</f>
        <v>Rising Pune Supergiant</v>
      </c>
      <c r="S603" t="str">
        <f>IF(K603="","No result",INDEX(Teams!$B:$B,MATCH(K603,Teams!$A:$A,0)))</f>
        <v>Rising Pune Supergiant</v>
      </c>
      <c r="T603" t="str">
        <f>INDEX(Venues!$B:$B,MATCH(O603,Venues!$A:$A,0))</f>
        <v>Maharashtra Cricket Association Stadium</v>
      </c>
      <c r="U603" t="str">
        <f>INDEX(Venues!$C:$C,MATCH(O603,Venues!$A:$A,0))</f>
        <v>Pune</v>
      </c>
      <c r="V603" t="str">
        <f>IF(L603&gt;0,L603&amp;" runs",IF(M603&gt;0,M603&amp;" wickets","-"))</f>
        <v>6 wickets</v>
      </c>
      <c r="W603">
        <f>IF(G603=K603,1,0)</f>
        <v>1</v>
      </c>
      <c r="X603">
        <f>IF(L603&gt;0,L603,"")</f>
        <v/>
      </c>
      <c r="Y603">
        <f>IF(X603="","",IF(X603&gt;Stats!$B$15,"Outlier",""))</f>
        <v/>
      </c>
      <c r="Z603" t="str">
        <f>P603&amp;" vs "&amp;Q603</f>
        <v>Sunrisers Hyderabad vs Rising Pune Supergiant</v>
      </c>
    </row>
    <row r="604" spans="1:26" x14ac:dyDescent="0.25">
      <c r="A604">
        <v>26</v>
      </c>
      <c r="B604">
        <v>2017</v>
      </c>
      <c r="C604" s="5">
        <v>42848</v>
      </c>
      <c r="D604" t="s">
        <v>172</v>
      </c>
      <c r="E604" t="s">
        <v>26</v>
      </c>
      <c r="F604" t="s">
        <v>23</v>
      </c>
      <c r="G604" t="s">
        <v>23</v>
      </c>
      <c r="H604" t="s">
        <v>173</v>
      </c>
      <c r="I604" t="s">
        <v>174</v>
      </c>
      <c r="J604">
        <v>0</v>
      </c>
      <c r="K604" t="s">
        <v>26</v>
      </c>
      <c r="L604">
        <v>26</v>
      </c>
      <c r="M604">
        <v>0</v>
      </c>
      <c r="N604" t="s">
        <v>365</v>
      </c>
      <c r="O604" t="s">
        <v>116</v>
      </c>
      <c r="P604" t="str">
        <f>INDEX(Teams!$B:$B,MATCH(E604,Teams!$A:$A,0))</f>
        <v>Kings XI Punjab</v>
      </c>
      <c r="Q604" t="str">
        <f>INDEX(Teams!$B:$B,MATCH(F604,Teams!$A:$A,0))</f>
        <v>Gujarat Lions</v>
      </c>
      <c r="R604" t="str">
        <f>INDEX(Teams!$B:$B,MATCH(G604,Teams!$A:$A,0))</f>
        <v>Gujarat Lions</v>
      </c>
      <c r="S604" t="str">
        <f>IF(K604="","No result",INDEX(Teams!$B:$B,MATCH(K604,Teams!$A:$A,0)))</f>
        <v>Kings XI Punjab</v>
      </c>
      <c r="T604" t="str">
        <f>INDEX(Venues!$B:$B,MATCH(O604,Venues!$A:$A,0))</f>
        <v>Saurashtra Cricket Association Stadium</v>
      </c>
      <c r="U604" t="str">
        <f>INDEX(Venues!$C:$C,MATCH(O604,Venues!$A:$A,0))</f>
        <v>Rajkot</v>
      </c>
      <c r="V604" t="str">
        <f>IF(L604&gt;0,L604&amp;" runs",IF(M604&gt;0,M604&amp;" wickets","-"))</f>
        <v>26 runs</v>
      </c>
      <c r="W604">
        <f>IF(G604=K604,1,0)</f>
        <v>0</v>
      </c>
      <c r="X604">
        <f>IF(L604&gt;0,L604,"")</f>
        <v>26</v>
      </c>
      <c r="Y604">
        <f>IF(X604="","",IF(X604&gt;Stats!$B$15,"Outlier",""))</f>
        <v/>
      </c>
      <c r="Z604" t="str">
        <f>P604&amp;" vs "&amp;Q604</f>
        <v>Kings XI Punjab vs Gujarat Lions</v>
      </c>
    </row>
    <row r="605" spans="1:26" x14ac:dyDescent="0.25">
      <c r="A605">
        <v>27</v>
      </c>
      <c r="B605">
        <v>2017</v>
      </c>
      <c r="C605" s="5">
        <v>42848</v>
      </c>
      <c r="D605" t="s">
        <v>172</v>
      </c>
      <c r="E605" t="s">
        <v>32</v>
      </c>
      <c r="F605" t="s">
        <v>46</v>
      </c>
      <c r="G605" t="s">
        <v>46</v>
      </c>
      <c r="H605" t="s">
        <v>173</v>
      </c>
      <c r="I605" t="s">
        <v>174</v>
      </c>
      <c r="J605">
        <v>0</v>
      </c>
      <c r="K605" t="s">
        <v>32</v>
      </c>
      <c r="L605">
        <v>82</v>
      </c>
      <c r="M605">
        <v>0</v>
      </c>
      <c r="N605" t="s">
        <v>349</v>
      </c>
      <c r="O605" t="s">
        <v>73</v>
      </c>
      <c r="P605" t="str">
        <f>INDEX(Teams!$B:$B,MATCH(E605,Teams!$A:$A,0))</f>
        <v>Kolkata Knight Riders</v>
      </c>
      <c r="Q605" t="str">
        <f>INDEX(Teams!$B:$B,MATCH(F605,Teams!$A:$A,0))</f>
        <v>Royal Challengers Bangalore</v>
      </c>
      <c r="R605" t="str">
        <f>INDEX(Teams!$B:$B,MATCH(G605,Teams!$A:$A,0))</f>
        <v>Royal Challengers Bangalore</v>
      </c>
      <c r="S605" t="str">
        <f>IF(K605="","No result",INDEX(Teams!$B:$B,MATCH(K605,Teams!$A:$A,0)))</f>
        <v>Kolkata Knight Riders</v>
      </c>
      <c r="T605" t="str">
        <f>INDEX(Venues!$B:$B,MATCH(O605,Venues!$A:$A,0))</f>
        <v>Eden Gardens</v>
      </c>
      <c r="U605" t="str">
        <f>INDEX(Venues!$C:$C,MATCH(O605,Venues!$A:$A,0))</f>
        <v>Kolkata</v>
      </c>
      <c r="V605" t="str">
        <f>IF(L605&gt;0,L605&amp;" runs",IF(M605&gt;0,M605&amp;" wickets","-"))</f>
        <v>82 runs</v>
      </c>
      <c r="W605">
        <f>IF(G605=K605,1,0)</f>
        <v>0</v>
      </c>
      <c r="X605">
        <f>IF(L605&gt;0,L605,"")</f>
        <v>82</v>
      </c>
      <c r="Y605" t="str">
        <f>IF(X605="","",IF(X605&gt;Stats!$B$15,"Outlier",""))</f>
        <v>Outlier</v>
      </c>
      <c r="Z605" t="str">
        <f>P605&amp;" vs "&amp;Q605</f>
        <v>Kolkata Knight Riders vs Royal Challengers Bangalore</v>
      </c>
    </row>
    <row r="606" spans="1:26" x14ac:dyDescent="0.25">
      <c r="A606">
        <v>28</v>
      </c>
      <c r="B606">
        <v>2017</v>
      </c>
      <c r="C606" s="5">
        <v>42849</v>
      </c>
      <c r="D606" t="s">
        <v>172</v>
      </c>
      <c r="E606" t="s">
        <v>44</v>
      </c>
      <c r="F606" t="s">
        <v>35</v>
      </c>
      <c r="G606" t="s">
        <v>35</v>
      </c>
      <c r="H606" t="s">
        <v>173</v>
      </c>
      <c r="I606" t="s">
        <v>174</v>
      </c>
      <c r="J606">
        <v>0</v>
      </c>
      <c r="K606" t="s">
        <v>44</v>
      </c>
      <c r="L606">
        <v>3</v>
      </c>
      <c r="M606">
        <v>0</v>
      </c>
      <c r="N606" t="s">
        <v>371</v>
      </c>
      <c r="O606" t="s">
        <v>138</v>
      </c>
      <c r="P606" t="str">
        <f>INDEX(Teams!$B:$B,MATCH(E606,Teams!$A:$A,0))</f>
        <v>Rising Pune Supergiant</v>
      </c>
      <c r="Q606" t="str">
        <f>INDEX(Teams!$B:$B,MATCH(F606,Teams!$A:$A,0))</f>
        <v>Mumbai Indians</v>
      </c>
      <c r="R606" t="str">
        <f>INDEX(Teams!$B:$B,MATCH(G606,Teams!$A:$A,0))</f>
        <v>Mumbai Indians</v>
      </c>
      <c r="S606" t="str">
        <f>IF(K606="","No result",INDEX(Teams!$B:$B,MATCH(K606,Teams!$A:$A,0)))</f>
        <v>Rising Pune Supergiant</v>
      </c>
      <c r="T606" t="str">
        <f>INDEX(Venues!$B:$B,MATCH(O606,Venues!$A:$A,0))</f>
        <v>Wankhede Stadium</v>
      </c>
      <c r="U606" t="str">
        <f>INDEX(Venues!$C:$C,MATCH(O606,Venues!$A:$A,0))</f>
        <v>Mumbai</v>
      </c>
      <c r="V606" t="str">
        <f>IF(L606&gt;0,L606&amp;" runs",IF(M606&gt;0,M606&amp;" wickets","-"))</f>
        <v>3 runs</v>
      </c>
      <c r="W606">
        <f>IF(G606=K606,1,0)</f>
        <v>0</v>
      </c>
      <c r="X606">
        <f>IF(L606&gt;0,L606,"")</f>
        <v>3</v>
      </c>
      <c r="Y606">
        <f>IF(X606="","",IF(X606&gt;Stats!$B$15,"Outlier",""))</f>
        <v/>
      </c>
      <c r="Z606" t="str">
        <f>P606&amp;" vs "&amp;Q606</f>
        <v>Rising Pune Supergiant vs Mumbai Indians</v>
      </c>
    </row>
    <row r="607" spans="1:26" x14ac:dyDescent="0.25">
      <c r="A607">
        <v>29</v>
      </c>
      <c r="B607">
        <v>2017</v>
      </c>
      <c r="C607" s="5">
        <v>42851</v>
      </c>
      <c r="D607" t="s">
        <v>172</v>
      </c>
      <c r="E607" t="s">
        <v>44</v>
      </c>
      <c r="F607" t="s">
        <v>32</v>
      </c>
      <c r="G607" t="s">
        <v>32</v>
      </c>
      <c r="H607" t="s">
        <v>173</v>
      </c>
      <c r="I607" t="s">
        <v>174</v>
      </c>
      <c r="J607">
        <v>0</v>
      </c>
      <c r="K607" t="s">
        <v>32</v>
      </c>
      <c r="L607">
        <v>0</v>
      </c>
      <c r="M607">
        <v>7</v>
      </c>
      <c r="N607" t="s">
        <v>253</v>
      </c>
      <c r="O607" t="s">
        <v>96</v>
      </c>
      <c r="P607" t="str">
        <f>INDEX(Teams!$B:$B,MATCH(E607,Teams!$A:$A,0))</f>
        <v>Rising Pune Supergiant</v>
      </c>
      <c r="Q607" t="str">
        <f>INDEX(Teams!$B:$B,MATCH(F607,Teams!$A:$A,0))</f>
        <v>Kolkata Knight Riders</v>
      </c>
      <c r="R607" t="str">
        <f>INDEX(Teams!$B:$B,MATCH(G607,Teams!$A:$A,0))</f>
        <v>Kolkata Knight Riders</v>
      </c>
      <c r="S607" t="str">
        <f>IF(K607="","No result",INDEX(Teams!$B:$B,MATCH(K607,Teams!$A:$A,0)))</f>
        <v>Kolkata Knight Riders</v>
      </c>
      <c r="T607" t="str">
        <f>INDEX(Venues!$B:$B,MATCH(O607,Venues!$A:$A,0))</f>
        <v>Maharashtra Cricket Association Stadium</v>
      </c>
      <c r="U607" t="str">
        <f>INDEX(Venues!$C:$C,MATCH(O607,Venues!$A:$A,0))</f>
        <v>Pune</v>
      </c>
      <c r="V607" t="str">
        <f>IF(L607&gt;0,L607&amp;" runs",IF(M607&gt;0,M607&amp;" wickets","-"))</f>
        <v>7 wickets</v>
      </c>
      <c r="W607">
        <f>IF(G607=K607,1,0)</f>
        <v>1</v>
      </c>
      <c r="X607">
        <f>IF(L607&gt;0,L607,"")</f>
        <v/>
      </c>
      <c r="Y607">
        <f>IF(X607="","",IF(X607&gt;Stats!$B$15,"Outlier",""))</f>
        <v/>
      </c>
      <c r="Z607" t="str">
        <f>P607&amp;" vs "&amp;Q607</f>
        <v>Rising Pune Supergiant vs Kolkata Knight Riders</v>
      </c>
    </row>
    <row r="608" spans="1:26" x14ac:dyDescent="0.25">
      <c r="A608">
        <v>30</v>
      </c>
      <c r="B608">
        <v>2017</v>
      </c>
      <c r="C608" s="5">
        <v>42852</v>
      </c>
      <c r="D608" t="s">
        <v>172</v>
      </c>
      <c r="E608" t="s">
        <v>46</v>
      </c>
      <c r="F608" t="s">
        <v>23</v>
      </c>
      <c r="G608" t="s">
        <v>23</v>
      </c>
      <c r="H608" t="s">
        <v>173</v>
      </c>
      <c r="I608" t="s">
        <v>174</v>
      </c>
      <c r="J608">
        <v>0</v>
      </c>
      <c r="K608" t="s">
        <v>23</v>
      </c>
      <c r="L608">
        <v>0</v>
      </c>
      <c r="M608">
        <v>7</v>
      </c>
      <c r="N608" t="s">
        <v>370</v>
      </c>
      <c r="O608" t="s">
        <v>92</v>
      </c>
      <c r="P608" t="str">
        <f>INDEX(Teams!$B:$B,MATCH(E608,Teams!$A:$A,0))</f>
        <v>Royal Challengers Bangalore</v>
      </c>
      <c r="Q608" t="str">
        <f>INDEX(Teams!$B:$B,MATCH(F608,Teams!$A:$A,0))</f>
        <v>Gujarat Lions</v>
      </c>
      <c r="R608" t="str">
        <f>INDEX(Teams!$B:$B,MATCH(G608,Teams!$A:$A,0))</f>
        <v>Gujarat Lions</v>
      </c>
      <c r="S608" t="str">
        <f>IF(K608="","No result",INDEX(Teams!$B:$B,MATCH(K608,Teams!$A:$A,0)))</f>
        <v>Gujarat Lions</v>
      </c>
      <c r="T608" t="str">
        <f>INDEX(Venues!$B:$B,MATCH(O608,Venues!$A:$A,0))</f>
        <v>M Chinnaswamy Stadium</v>
      </c>
      <c r="U608" t="str">
        <f>INDEX(Venues!$C:$C,MATCH(O608,Venues!$A:$A,0))</f>
        <v>Bangalore</v>
      </c>
      <c r="V608" t="str">
        <f>IF(L608&gt;0,L608&amp;" runs",IF(M608&gt;0,M608&amp;" wickets","-"))</f>
        <v>7 wickets</v>
      </c>
      <c r="W608">
        <f>IF(G608=K608,1,0)</f>
        <v>1</v>
      </c>
      <c r="X608">
        <f>IF(L608&gt;0,L608,"")</f>
        <v/>
      </c>
      <c r="Y608">
        <f>IF(X608="","",IF(X608&gt;Stats!$B$15,"Outlier",""))</f>
        <v/>
      </c>
      <c r="Z608" t="str">
        <f>P608&amp;" vs "&amp;Q608</f>
        <v>Royal Challengers Bangalore vs Gujarat Lions</v>
      </c>
    </row>
    <row r="609" spans="1:26" x14ac:dyDescent="0.25">
      <c r="A609">
        <v>31</v>
      </c>
      <c r="B609">
        <v>2017</v>
      </c>
      <c r="C609" s="5">
        <v>42853</v>
      </c>
      <c r="D609" t="s">
        <v>172</v>
      </c>
      <c r="E609" t="s">
        <v>20</v>
      </c>
      <c r="F609" t="s">
        <v>32</v>
      </c>
      <c r="G609" t="s">
        <v>32</v>
      </c>
      <c r="H609" t="s">
        <v>173</v>
      </c>
      <c r="I609" t="s">
        <v>174</v>
      </c>
      <c r="J609">
        <v>0</v>
      </c>
      <c r="K609" t="s">
        <v>32</v>
      </c>
      <c r="L609">
        <v>0</v>
      </c>
      <c r="M609">
        <v>7</v>
      </c>
      <c r="N609" t="s">
        <v>234</v>
      </c>
      <c r="O609" t="s">
        <v>73</v>
      </c>
      <c r="P609" t="str">
        <f>INDEX(Teams!$B:$B,MATCH(E609,Teams!$A:$A,0))</f>
        <v>Delhi Capitals</v>
      </c>
      <c r="Q609" t="str">
        <f>INDEX(Teams!$B:$B,MATCH(F609,Teams!$A:$A,0))</f>
        <v>Kolkata Knight Riders</v>
      </c>
      <c r="R609" t="str">
        <f>INDEX(Teams!$B:$B,MATCH(G609,Teams!$A:$A,0))</f>
        <v>Kolkata Knight Riders</v>
      </c>
      <c r="S609" t="str">
        <f>IF(K609="","No result",INDEX(Teams!$B:$B,MATCH(K609,Teams!$A:$A,0)))</f>
        <v>Kolkata Knight Riders</v>
      </c>
      <c r="T609" t="str">
        <f>INDEX(Venues!$B:$B,MATCH(O609,Venues!$A:$A,0))</f>
        <v>Eden Gardens</v>
      </c>
      <c r="U609" t="str">
        <f>INDEX(Venues!$C:$C,MATCH(O609,Venues!$A:$A,0))</f>
        <v>Kolkata</v>
      </c>
      <c r="V609" t="str">
        <f>IF(L609&gt;0,L609&amp;" runs",IF(M609&gt;0,M609&amp;" wickets","-"))</f>
        <v>7 wickets</v>
      </c>
      <c r="W609">
        <f>IF(G609=K609,1,0)</f>
        <v>1</v>
      </c>
      <c r="X609">
        <f>IF(L609&gt;0,L609,"")</f>
        <v/>
      </c>
      <c r="Y609">
        <f>IF(X609="","",IF(X609&gt;Stats!$B$15,"Outlier",""))</f>
        <v/>
      </c>
      <c r="Z609" t="str">
        <f>P609&amp;" vs "&amp;Q609</f>
        <v>Delhi Capitals vs Kolkata Knight Riders</v>
      </c>
    </row>
    <row r="610" spans="1:26" x14ac:dyDescent="0.25">
      <c r="A610">
        <v>32</v>
      </c>
      <c r="B610">
        <v>2017</v>
      </c>
      <c r="C610" s="5">
        <v>42853</v>
      </c>
      <c r="D610" t="s">
        <v>172</v>
      </c>
      <c r="E610" t="s">
        <v>49</v>
      </c>
      <c r="F610" t="s">
        <v>26</v>
      </c>
      <c r="G610" t="s">
        <v>26</v>
      </c>
      <c r="H610" t="s">
        <v>173</v>
      </c>
      <c r="I610" t="s">
        <v>174</v>
      </c>
      <c r="J610">
        <v>0</v>
      </c>
      <c r="K610" t="s">
        <v>49</v>
      </c>
      <c r="L610">
        <v>26</v>
      </c>
      <c r="M610">
        <v>0</v>
      </c>
      <c r="N610" t="s">
        <v>367</v>
      </c>
      <c r="O610" t="s">
        <v>109</v>
      </c>
      <c r="P610" t="str">
        <f>INDEX(Teams!$B:$B,MATCH(E610,Teams!$A:$A,0))</f>
        <v>Sunrisers Hyderabad</v>
      </c>
      <c r="Q610" t="str">
        <f>INDEX(Teams!$B:$B,MATCH(F610,Teams!$A:$A,0))</f>
        <v>Kings XI Punjab</v>
      </c>
      <c r="R610" t="str">
        <f>INDEX(Teams!$B:$B,MATCH(G610,Teams!$A:$A,0))</f>
        <v>Kings XI Punjab</v>
      </c>
      <c r="S610" t="str">
        <f>IF(K610="","No result",INDEX(Teams!$B:$B,MATCH(K610,Teams!$A:$A,0)))</f>
        <v>Sunrisers Hyderabad</v>
      </c>
      <c r="T610" t="str">
        <f>INDEX(Venues!$B:$B,MATCH(O610,Venues!$A:$A,0))</f>
        <v>Punjab Cricket Association IS Bindra Stadium</v>
      </c>
      <c r="U610" t="str">
        <f>INDEX(Venues!$C:$C,MATCH(O610,Venues!$A:$A,0))</f>
        <v>Chandigarh</v>
      </c>
      <c r="V610" t="str">
        <f>IF(L610&gt;0,L610&amp;" runs",IF(M610&gt;0,M610&amp;" wickets","-"))</f>
        <v>26 runs</v>
      </c>
      <c r="W610">
        <f>IF(G610=K610,1,0)</f>
        <v>0</v>
      </c>
      <c r="X610">
        <f>IF(L610&gt;0,L610,"")</f>
        <v>26</v>
      </c>
      <c r="Y610">
        <f>IF(X610="","",IF(X610&gt;Stats!$B$15,"Outlier",""))</f>
        <v/>
      </c>
      <c r="Z610" t="str">
        <f>P610&amp;" vs "&amp;Q610</f>
        <v>Sunrisers Hyderabad vs Kings XI Punjab</v>
      </c>
    </row>
    <row r="611" spans="1:26" x14ac:dyDescent="0.25">
      <c r="A611">
        <v>33</v>
      </c>
      <c r="B611">
        <v>2017</v>
      </c>
      <c r="C611" s="5">
        <v>42854</v>
      </c>
      <c r="D611" t="s">
        <v>172</v>
      </c>
      <c r="E611" t="s">
        <v>44</v>
      </c>
      <c r="F611" t="s">
        <v>46</v>
      </c>
      <c r="G611" t="s">
        <v>46</v>
      </c>
      <c r="H611" t="s">
        <v>173</v>
      </c>
      <c r="I611" t="s">
        <v>174</v>
      </c>
      <c r="J611">
        <v>0</v>
      </c>
      <c r="K611" t="s">
        <v>44</v>
      </c>
      <c r="L611">
        <v>61</v>
      </c>
      <c r="M611">
        <v>0</v>
      </c>
      <c r="N611" t="s">
        <v>374</v>
      </c>
      <c r="O611" t="s">
        <v>96</v>
      </c>
      <c r="P611" t="str">
        <f>INDEX(Teams!$B:$B,MATCH(E611,Teams!$A:$A,0))</f>
        <v>Rising Pune Supergiant</v>
      </c>
      <c r="Q611" t="str">
        <f>INDEX(Teams!$B:$B,MATCH(F611,Teams!$A:$A,0))</f>
        <v>Royal Challengers Bangalore</v>
      </c>
      <c r="R611" t="str">
        <f>INDEX(Teams!$B:$B,MATCH(G611,Teams!$A:$A,0))</f>
        <v>Royal Challengers Bangalore</v>
      </c>
      <c r="S611" t="str">
        <f>IF(K611="","No result",INDEX(Teams!$B:$B,MATCH(K611,Teams!$A:$A,0)))</f>
        <v>Rising Pune Supergiant</v>
      </c>
      <c r="T611" t="str">
        <f>INDEX(Venues!$B:$B,MATCH(O611,Venues!$A:$A,0))</f>
        <v>Maharashtra Cricket Association Stadium</v>
      </c>
      <c r="U611" t="str">
        <f>INDEX(Venues!$C:$C,MATCH(O611,Venues!$A:$A,0))</f>
        <v>Pune</v>
      </c>
      <c r="V611" t="str">
        <f>IF(L611&gt;0,L611&amp;" runs",IF(M611&gt;0,M611&amp;" wickets","-"))</f>
        <v>61 runs</v>
      </c>
      <c r="W611">
        <f>IF(G611=K611,1,0)</f>
        <v>0</v>
      </c>
      <c r="X611">
        <f>IF(L611&gt;0,L611,"")</f>
        <v>61</v>
      </c>
      <c r="Y611">
        <f>IF(X611="","",IF(X611&gt;Stats!$B$15,"Outlier",""))</f>
        <v/>
      </c>
      <c r="Z611" t="str">
        <f>P611&amp;" vs "&amp;Q611</f>
        <v>Rising Pune Supergiant vs Royal Challengers Bangalore</v>
      </c>
    </row>
    <row r="612" spans="1:26" x14ac:dyDescent="0.25">
      <c r="A612">
        <v>34</v>
      </c>
      <c r="B612">
        <v>2017</v>
      </c>
      <c r="C612" s="5">
        <v>42854</v>
      </c>
      <c r="D612" t="s">
        <v>172</v>
      </c>
      <c r="E612" t="s">
        <v>23</v>
      </c>
      <c r="F612" t="s">
        <v>35</v>
      </c>
      <c r="G612" t="s">
        <v>23</v>
      </c>
      <c r="H612" t="s">
        <v>176</v>
      </c>
      <c r="I612" t="s">
        <v>224</v>
      </c>
      <c r="J612">
        <v>0</v>
      </c>
      <c r="K612" t="s">
        <v>35</v>
      </c>
      <c r="L612">
        <v>0</v>
      </c>
      <c r="M612">
        <v>0</v>
      </c>
      <c r="N612" t="s">
        <v>364</v>
      </c>
      <c r="O612" t="s">
        <v>116</v>
      </c>
      <c r="P612" t="str">
        <f>INDEX(Teams!$B:$B,MATCH(E612,Teams!$A:$A,0))</f>
        <v>Gujarat Lions</v>
      </c>
      <c r="Q612" t="str">
        <f>INDEX(Teams!$B:$B,MATCH(F612,Teams!$A:$A,0))</f>
        <v>Mumbai Indians</v>
      </c>
      <c r="R612" t="str">
        <f>INDEX(Teams!$B:$B,MATCH(G612,Teams!$A:$A,0))</f>
        <v>Gujarat Lions</v>
      </c>
      <c r="S612" t="str">
        <f>IF(K612="","No result",INDEX(Teams!$B:$B,MATCH(K612,Teams!$A:$A,0)))</f>
        <v>Mumbai Indians</v>
      </c>
      <c r="T612" t="str">
        <f>INDEX(Venues!$B:$B,MATCH(O612,Venues!$A:$A,0))</f>
        <v>Saurashtra Cricket Association Stadium</v>
      </c>
      <c r="U612" t="str">
        <f>INDEX(Venues!$C:$C,MATCH(O612,Venues!$A:$A,0))</f>
        <v>Rajkot</v>
      </c>
      <c r="V612" t="str">
        <f>IF(L612&gt;0,L612&amp;" runs",IF(M612&gt;0,M612&amp;" wickets","-"))</f>
        <v>-</v>
      </c>
      <c r="W612">
        <f>IF(G612=K612,1,0)</f>
        <v>0</v>
      </c>
      <c r="X612">
        <f>IF(L612&gt;0,L612,"")</f>
        <v/>
      </c>
      <c r="Y612">
        <f>IF(X612="","",IF(X612&gt;Stats!$B$15,"Outlier",""))</f>
        <v/>
      </c>
      <c r="Z612" t="str">
        <f>P612&amp;" vs "&amp;Q612</f>
        <v>Gujarat Lions vs Mumbai Indians</v>
      </c>
    </row>
    <row r="613" spans="1:26" x14ac:dyDescent="0.25">
      <c r="A613">
        <v>35</v>
      </c>
      <c r="B613">
        <v>2017</v>
      </c>
      <c r="C613" s="5">
        <v>42855</v>
      </c>
      <c r="D613" t="s">
        <v>172</v>
      </c>
      <c r="E613" t="s">
        <v>20</v>
      </c>
      <c r="F613" t="s">
        <v>26</v>
      </c>
      <c r="G613" t="s">
        <v>26</v>
      </c>
      <c r="H613" t="s">
        <v>173</v>
      </c>
      <c r="I613" t="s">
        <v>174</v>
      </c>
      <c r="J613">
        <v>0</v>
      </c>
      <c r="K613" t="s">
        <v>26</v>
      </c>
      <c r="L613">
        <v>0</v>
      </c>
      <c r="M613">
        <v>10</v>
      </c>
      <c r="N613" t="s">
        <v>335</v>
      </c>
      <c r="O613" t="s">
        <v>109</v>
      </c>
      <c r="P613" t="str">
        <f>INDEX(Teams!$B:$B,MATCH(E613,Teams!$A:$A,0))</f>
        <v>Delhi Capitals</v>
      </c>
      <c r="Q613" t="str">
        <f>INDEX(Teams!$B:$B,MATCH(F613,Teams!$A:$A,0))</f>
        <v>Kings XI Punjab</v>
      </c>
      <c r="R613" t="str">
        <f>INDEX(Teams!$B:$B,MATCH(G613,Teams!$A:$A,0))</f>
        <v>Kings XI Punjab</v>
      </c>
      <c r="S613" t="str">
        <f>IF(K613="","No result",INDEX(Teams!$B:$B,MATCH(K613,Teams!$A:$A,0)))</f>
        <v>Kings XI Punjab</v>
      </c>
      <c r="T613" t="str">
        <f>INDEX(Venues!$B:$B,MATCH(O613,Venues!$A:$A,0))</f>
        <v>Punjab Cricket Association IS Bindra Stadium</v>
      </c>
      <c r="U613" t="str">
        <f>INDEX(Venues!$C:$C,MATCH(O613,Venues!$A:$A,0))</f>
        <v>Chandigarh</v>
      </c>
      <c r="V613" t="str">
        <f>IF(L613&gt;0,L613&amp;" runs",IF(M613&gt;0,M613&amp;" wickets","-"))</f>
        <v>10 wickets</v>
      </c>
      <c r="W613">
        <f>IF(G613=K613,1,0)</f>
        <v>1</v>
      </c>
      <c r="X613">
        <f>IF(L613&gt;0,L613,"")</f>
        <v/>
      </c>
      <c r="Y613">
        <f>IF(X613="","",IF(X613&gt;Stats!$B$15,"Outlier",""))</f>
        <v/>
      </c>
      <c r="Z613" t="str">
        <f>P613&amp;" vs "&amp;Q613</f>
        <v>Delhi Capitals vs Kings XI Punjab</v>
      </c>
    </row>
    <row r="614" spans="1:26" x14ac:dyDescent="0.25">
      <c r="A614">
        <v>36</v>
      </c>
      <c r="B614">
        <v>2017</v>
      </c>
      <c r="C614" s="5">
        <v>42855</v>
      </c>
      <c r="D614" t="s">
        <v>172</v>
      </c>
      <c r="E614" t="s">
        <v>49</v>
      </c>
      <c r="F614" t="s">
        <v>32</v>
      </c>
      <c r="G614" t="s">
        <v>32</v>
      </c>
      <c r="H614" t="s">
        <v>173</v>
      </c>
      <c r="I614" t="s">
        <v>174</v>
      </c>
      <c r="J614">
        <v>0</v>
      </c>
      <c r="K614" t="s">
        <v>49</v>
      </c>
      <c r="L614">
        <v>48</v>
      </c>
      <c r="M614">
        <v>0</v>
      </c>
      <c r="N614" t="s">
        <v>257</v>
      </c>
      <c r="O614" t="s">
        <v>111</v>
      </c>
      <c r="P614" t="str">
        <f>INDEX(Teams!$B:$B,MATCH(E614,Teams!$A:$A,0))</f>
        <v>Sunrisers Hyderabad</v>
      </c>
      <c r="Q614" t="str">
        <f>INDEX(Teams!$B:$B,MATCH(F614,Teams!$A:$A,0))</f>
        <v>Kolkata Knight Riders</v>
      </c>
      <c r="R614" t="str">
        <f>INDEX(Teams!$B:$B,MATCH(G614,Teams!$A:$A,0))</f>
        <v>Kolkata Knight Riders</v>
      </c>
      <c r="S614" t="str">
        <f>IF(K614="","No result",INDEX(Teams!$B:$B,MATCH(K614,Teams!$A:$A,0)))</f>
        <v>Sunrisers Hyderabad</v>
      </c>
      <c r="T614" t="str">
        <f>INDEX(Venues!$B:$B,MATCH(O614,Venues!$A:$A,0))</f>
        <v>Rajiv Gandhi International Stadium</v>
      </c>
      <c r="U614" t="str">
        <f>INDEX(Venues!$C:$C,MATCH(O614,Venues!$A:$A,0))</f>
        <v>Hyderabad</v>
      </c>
      <c r="V614" t="str">
        <f>IF(L614&gt;0,L614&amp;" runs",IF(M614&gt;0,M614&amp;" wickets","-"))</f>
        <v>48 runs</v>
      </c>
      <c r="W614">
        <f>IF(G614=K614,1,0)</f>
        <v>0</v>
      </c>
      <c r="X614">
        <f>IF(L614&gt;0,L614,"")</f>
        <v>48</v>
      </c>
      <c r="Y614">
        <f>IF(X614="","",IF(X614&gt;Stats!$B$15,"Outlier",""))</f>
        <v/>
      </c>
      <c r="Z614" t="str">
        <f>P614&amp;" vs "&amp;Q614</f>
        <v>Sunrisers Hyderabad vs Kolkata Knight Riders</v>
      </c>
    </row>
    <row r="615" spans="1:26" x14ac:dyDescent="0.25">
      <c r="A615">
        <v>37</v>
      </c>
      <c r="B615">
        <v>2017</v>
      </c>
      <c r="C615" s="5">
        <v>42856</v>
      </c>
      <c r="D615" t="s">
        <v>172</v>
      </c>
      <c r="E615" t="s">
        <v>46</v>
      </c>
      <c r="F615" t="s">
        <v>35</v>
      </c>
      <c r="G615" t="s">
        <v>46</v>
      </c>
      <c r="H615" t="s">
        <v>176</v>
      </c>
      <c r="I615" t="s">
        <v>174</v>
      </c>
      <c r="J615">
        <v>0</v>
      </c>
      <c r="K615" t="s">
        <v>35</v>
      </c>
      <c r="L615">
        <v>0</v>
      </c>
      <c r="M615">
        <v>5</v>
      </c>
      <c r="N615" t="s">
        <v>235</v>
      </c>
      <c r="O615" t="s">
        <v>138</v>
      </c>
      <c r="P615" t="str">
        <f>INDEX(Teams!$B:$B,MATCH(E615,Teams!$A:$A,0))</f>
        <v>Royal Challengers Bangalore</v>
      </c>
      <c r="Q615" t="str">
        <f>INDEX(Teams!$B:$B,MATCH(F615,Teams!$A:$A,0))</f>
        <v>Mumbai Indians</v>
      </c>
      <c r="R615" t="str">
        <f>INDEX(Teams!$B:$B,MATCH(G615,Teams!$A:$A,0))</f>
        <v>Royal Challengers Bangalore</v>
      </c>
      <c r="S615" t="str">
        <f>IF(K615="","No result",INDEX(Teams!$B:$B,MATCH(K615,Teams!$A:$A,0)))</f>
        <v>Mumbai Indians</v>
      </c>
      <c r="T615" t="str">
        <f>INDEX(Venues!$B:$B,MATCH(O615,Venues!$A:$A,0))</f>
        <v>Wankhede Stadium</v>
      </c>
      <c r="U615" t="str">
        <f>INDEX(Venues!$C:$C,MATCH(O615,Venues!$A:$A,0))</f>
        <v>Mumbai</v>
      </c>
      <c r="V615" t="str">
        <f>IF(L615&gt;0,L615&amp;" runs",IF(M615&gt;0,M615&amp;" wickets","-"))</f>
        <v>5 wickets</v>
      </c>
      <c r="W615">
        <f>IF(G615=K615,1,0)</f>
        <v>0</v>
      </c>
      <c r="X615">
        <f>IF(L615&gt;0,L615,"")</f>
        <v/>
      </c>
      <c r="Y615">
        <f>IF(X615="","",IF(X615&gt;Stats!$B$15,"Outlier",""))</f>
        <v/>
      </c>
      <c r="Z615" t="str">
        <f>P615&amp;" vs "&amp;Q615</f>
        <v>Royal Challengers Bangalore vs Mumbai Indians</v>
      </c>
    </row>
    <row r="616" spans="1:26" x14ac:dyDescent="0.25">
      <c r="A616">
        <v>38</v>
      </c>
      <c r="B616">
        <v>2017</v>
      </c>
      <c r="C616" s="5">
        <v>42856</v>
      </c>
      <c r="D616" t="s">
        <v>172</v>
      </c>
      <c r="E616" t="s">
        <v>23</v>
      </c>
      <c r="F616" t="s">
        <v>44</v>
      </c>
      <c r="G616" t="s">
        <v>44</v>
      </c>
      <c r="H616" t="s">
        <v>173</v>
      </c>
      <c r="I616" t="s">
        <v>174</v>
      </c>
      <c r="J616">
        <v>0</v>
      </c>
      <c r="K616" t="s">
        <v>44</v>
      </c>
      <c r="L616">
        <v>0</v>
      </c>
      <c r="M616">
        <v>5</v>
      </c>
      <c r="N616" t="s">
        <v>371</v>
      </c>
      <c r="O616" t="s">
        <v>96</v>
      </c>
      <c r="P616" t="str">
        <f>INDEX(Teams!$B:$B,MATCH(E616,Teams!$A:$A,0))</f>
        <v>Gujarat Lions</v>
      </c>
      <c r="Q616" t="str">
        <f>INDEX(Teams!$B:$B,MATCH(F616,Teams!$A:$A,0))</f>
        <v>Rising Pune Supergiant</v>
      </c>
      <c r="R616" t="str">
        <f>INDEX(Teams!$B:$B,MATCH(G616,Teams!$A:$A,0))</f>
        <v>Rising Pune Supergiant</v>
      </c>
      <c r="S616" t="str">
        <f>IF(K616="","No result",INDEX(Teams!$B:$B,MATCH(K616,Teams!$A:$A,0)))</f>
        <v>Rising Pune Supergiant</v>
      </c>
      <c r="T616" t="str">
        <f>INDEX(Venues!$B:$B,MATCH(O616,Venues!$A:$A,0))</f>
        <v>Maharashtra Cricket Association Stadium</v>
      </c>
      <c r="U616" t="str">
        <f>INDEX(Venues!$C:$C,MATCH(O616,Venues!$A:$A,0))</f>
        <v>Pune</v>
      </c>
      <c r="V616" t="str">
        <f>IF(L616&gt;0,L616&amp;" runs",IF(M616&gt;0,M616&amp;" wickets","-"))</f>
        <v>5 wickets</v>
      </c>
      <c r="W616">
        <f>IF(G616=K616,1,0)</f>
        <v>1</v>
      </c>
      <c r="X616">
        <f>IF(L616&gt;0,L616,"")</f>
        <v/>
      </c>
      <c r="Y616">
        <f>IF(X616="","",IF(X616&gt;Stats!$B$15,"Outlier",""))</f>
        <v/>
      </c>
      <c r="Z616" t="str">
        <f>P616&amp;" vs "&amp;Q616</f>
        <v>Gujarat Lions vs Rising Pune Supergiant</v>
      </c>
    </row>
    <row r="617" spans="1:26" x14ac:dyDescent="0.25">
      <c r="A617">
        <v>39</v>
      </c>
      <c r="B617">
        <v>2017</v>
      </c>
      <c r="C617" s="5">
        <v>42857</v>
      </c>
      <c r="D617" t="s">
        <v>172</v>
      </c>
      <c r="E617" t="s">
        <v>49</v>
      </c>
      <c r="F617" t="s">
        <v>20</v>
      </c>
      <c r="G617" t="s">
        <v>20</v>
      </c>
      <c r="H617" t="s">
        <v>173</v>
      </c>
      <c r="I617" t="s">
        <v>174</v>
      </c>
      <c r="J617">
        <v>0</v>
      </c>
      <c r="K617" t="s">
        <v>20</v>
      </c>
      <c r="L617">
        <v>0</v>
      </c>
      <c r="M617">
        <v>6</v>
      </c>
      <c r="N617" t="s">
        <v>375</v>
      </c>
      <c r="O617" t="s">
        <v>75</v>
      </c>
      <c r="P617" t="str">
        <f>INDEX(Teams!$B:$B,MATCH(E617,Teams!$A:$A,0))</f>
        <v>Sunrisers Hyderabad</v>
      </c>
      <c r="Q617" t="str">
        <f>INDEX(Teams!$B:$B,MATCH(F617,Teams!$A:$A,0))</f>
        <v>Delhi Capitals</v>
      </c>
      <c r="R617" t="str">
        <f>INDEX(Teams!$B:$B,MATCH(G617,Teams!$A:$A,0))</f>
        <v>Delhi Capitals</v>
      </c>
      <c r="S617" t="str">
        <f>IF(K617="","No result",INDEX(Teams!$B:$B,MATCH(K617,Teams!$A:$A,0)))</f>
        <v>Delhi Capitals</v>
      </c>
      <c r="T617" t="str">
        <f>INDEX(Venues!$B:$B,MATCH(O617,Venues!$A:$A,0))</f>
        <v>Feroz Shah Kotla</v>
      </c>
      <c r="U617" t="str">
        <f>INDEX(Venues!$C:$C,MATCH(O617,Venues!$A:$A,0))</f>
        <v>Delhi</v>
      </c>
      <c r="V617" t="str">
        <f>IF(L617&gt;0,L617&amp;" runs",IF(M617&gt;0,M617&amp;" wickets","-"))</f>
        <v>6 wickets</v>
      </c>
      <c r="W617">
        <f>IF(G617=K617,1,0)</f>
        <v>1</v>
      </c>
      <c r="X617">
        <f>IF(L617&gt;0,L617,"")</f>
        <v/>
      </c>
      <c r="Y617">
        <f>IF(X617="","",IF(X617&gt;Stats!$B$15,"Outlier",""))</f>
        <v/>
      </c>
      <c r="Z617" t="str">
        <f>P617&amp;" vs "&amp;Q617</f>
        <v>Sunrisers Hyderabad vs Delhi Capitals</v>
      </c>
    </row>
    <row r="618" spans="1:26" x14ac:dyDescent="0.25">
      <c r="A618">
        <v>40</v>
      </c>
      <c r="B618">
        <v>2017</v>
      </c>
      <c r="C618" s="5">
        <v>42858</v>
      </c>
      <c r="D618" t="s">
        <v>172</v>
      </c>
      <c r="E618" t="s">
        <v>32</v>
      </c>
      <c r="F618" t="s">
        <v>44</v>
      </c>
      <c r="G618" t="s">
        <v>44</v>
      </c>
      <c r="H618" t="s">
        <v>173</v>
      </c>
      <c r="I618" t="s">
        <v>174</v>
      </c>
      <c r="J618">
        <v>0</v>
      </c>
      <c r="K618" t="s">
        <v>44</v>
      </c>
      <c r="L618">
        <v>0</v>
      </c>
      <c r="M618">
        <v>4</v>
      </c>
      <c r="N618" t="s">
        <v>376</v>
      </c>
      <c r="O618" t="s">
        <v>73</v>
      </c>
      <c r="P618" t="str">
        <f>INDEX(Teams!$B:$B,MATCH(E618,Teams!$A:$A,0))</f>
        <v>Kolkata Knight Riders</v>
      </c>
      <c r="Q618" t="str">
        <f>INDEX(Teams!$B:$B,MATCH(F618,Teams!$A:$A,0))</f>
        <v>Rising Pune Supergiant</v>
      </c>
      <c r="R618" t="str">
        <f>INDEX(Teams!$B:$B,MATCH(G618,Teams!$A:$A,0))</f>
        <v>Rising Pune Supergiant</v>
      </c>
      <c r="S618" t="str">
        <f>IF(K618="","No result",INDEX(Teams!$B:$B,MATCH(K618,Teams!$A:$A,0)))</f>
        <v>Rising Pune Supergiant</v>
      </c>
      <c r="T618" t="str">
        <f>INDEX(Venues!$B:$B,MATCH(O618,Venues!$A:$A,0))</f>
        <v>Eden Gardens</v>
      </c>
      <c r="U618" t="str">
        <f>INDEX(Venues!$C:$C,MATCH(O618,Venues!$A:$A,0))</f>
        <v>Kolkata</v>
      </c>
      <c r="V618" t="str">
        <f>IF(L618&gt;0,L618&amp;" runs",IF(M618&gt;0,M618&amp;" wickets","-"))</f>
        <v>4 wickets</v>
      </c>
      <c r="W618">
        <f>IF(G618=K618,1,0)</f>
        <v>1</v>
      </c>
      <c r="X618">
        <f>IF(L618&gt;0,L618,"")</f>
        <v/>
      </c>
      <c r="Y618">
        <f>IF(X618="","",IF(X618&gt;Stats!$B$15,"Outlier",""))</f>
        <v/>
      </c>
      <c r="Z618" t="str">
        <f>P618&amp;" vs "&amp;Q618</f>
        <v>Kolkata Knight Riders vs Rising Pune Supergiant</v>
      </c>
    </row>
    <row r="619" spans="1:26" x14ac:dyDescent="0.25">
      <c r="A619">
        <v>41</v>
      </c>
      <c r="B619">
        <v>2017</v>
      </c>
      <c r="C619" s="5">
        <v>42859</v>
      </c>
      <c r="D619" t="s">
        <v>172</v>
      </c>
      <c r="E619" t="s">
        <v>23</v>
      </c>
      <c r="F619" t="s">
        <v>20</v>
      </c>
      <c r="G619" t="s">
        <v>20</v>
      </c>
      <c r="H619" t="s">
        <v>173</v>
      </c>
      <c r="I619" t="s">
        <v>174</v>
      </c>
      <c r="J619">
        <v>0</v>
      </c>
      <c r="K619" t="s">
        <v>20</v>
      </c>
      <c r="L619">
        <v>0</v>
      </c>
      <c r="M619">
        <v>7</v>
      </c>
      <c r="N619" t="s">
        <v>361</v>
      </c>
      <c r="O619" t="s">
        <v>75</v>
      </c>
      <c r="P619" t="str">
        <f>INDEX(Teams!$B:$B,MATCH(E619,Teams!$A:$A,0))</f>
        <v>Gujarat Lions</v>
      </c>
      <c r="Q619" t="str">
        <f>INDEX(Teams!$B:$B,MATCH(F619,Teams!$A:$A,0))</f>
        <v>Delhi Capitals</v>
      </c>
      <c r="R619" t="str">
        <f>INDEX(Teams!$B:$B,MATCH(G619,Teams!$A:$A,0))</f>
        <v>Delhi Capitals</v>
      </c>
      <c r="S619" t="str">
        <f>IF(K619="","No result",INDEX(Teams!$B:$B,MATCH(K619,Teams!$A:$A,0)))</f>
        <v>Delhi Capitals</v>
      </c>
      <c r="T619" t="str">
        <f>INDEX(Venues!$B:$B,MATCH(O619,Venues!$A:$A,0))</f>
        <v>Feroz Shah Kotla</v>
      </c>
      <c r="U619" t="str">
        <f>INDEX(Venues!$C:$C,MATCH(O619,Venues!$A:$A,0))</f>
        <v>Delhi</v>
      </c>
      <c r="V619" t="str">
        <f>IF(L619&gt;0,L619&amp;" runs",IF(M619&gt;0,M619&amp;" wickets","-"))</f>
        <v>7 wickets</v>
      </c>
      <c r="W619">
        <f>IF(G619=K619,1,0)</f>
        <v>1</v>
      </c>
      <c r="X619">
        <f>IF(L619&gt;0,L619,"")</f>
        <v/>
      </c>
      <c r="Y619">
        <f>IF(X619="","",IF(X619&gt;Stats!$B$15,"Outlier",""))</f>
        <v/>
      </c>
      <c r="Z619" t="str">
        <f>P619&amp;" vs "&amp;Q619</f>
        <v>Gujarat Lions vs Delhi Capitals</v>
      </c>
    </row>
    <row r="620" spans="1:26" x14ac:dyDescent="0.25">
      <c r="A620">
        <v>42</v>
      </c>
      <c r="B620">
        <v>2017</v>
      </c>
      <c r="C620" s="5">
        <v>42860</v>
      </c>
      <c r="D620" t="s">
        <v>172</v>
      </c>
      <c r="E620" t="s">
        <v>26</v>
      </c>
      <c r="F620" t="s">
        <v>46</v>
      </c>
      <c r="G620" t="s">
        <v>46</v>
      </c>
      <c r="H620" t="s">
        <v>173</v>
      </c>
      <c r="I620" t="s">
        <v>174</v>
      </c>
      <c r="J620">
        <v>0</v>
      </c>
      <c r="K620" t="s">
        <v>26</v>
      </c>
      <c r="L620">
        <v>19</v>
      </c>
      <c r="M620">
        <v>0</v>
      </c>
      <c r="N620" t="s">
        <v>335</v>
      </c>
      <c r="O620" t="s">
        <v>92</v>
      </c>
      <c r="P620" t="str">
        <f>INDEX(Teams!$B:$B,MATCH(E620,Teams!$A:$A,0))</f>
        <v>Kings XI Punjab</v>
      </c>
      <c r="Q620" t="str">
        <f>INDEX(Teams!$B:$B,MATCH(F620,Teams!$A:$A,0))</f>
        <v>Royal Challengers Bangalore</v>
      </c>
      <c r="R620" t="str">
        <f>INDEX(Teams!$B:$B,MATCH(G620,Teams!$A:$A,0))</f>
        <v>Royal Challengers Bangalore</v>
      </c>
      <c r="S620" t="str">
        <f>IF(K620="","No result",INDEX(Teams!$B:$B,MATCH(K620,Teams!$A:$A,0)))</f>
        <v>Kings XI Punjab</v>
      </c>
      <c r="T620" t="str">
        <f>INDEX(Venues!$B:$B,MATCH(O620,Venues!$A:$A,0))</f>
        <v>M Chinnaswamy Stadium</v>
      </c>
      <c r="U620" t="str">
        <f>INDEX(Venues!$C:$C,MATCH(O620,Venues!$A:$A,0))</f>
        <v>Bangalore</v>
      </c>
      <c r="V620" t="str">
        <f>IF(L620&gt;0,L620&amp;" runs",IF(M620&gt;0,M620&amp;" wickets","-"))</f>
        <v>19 runs</v>
      </c>
      <c r="W620">
        <f>IF(G620=K620,1,0)</f>
        <v>0</v>
      </c>
      <c r="X620">
        <f>IF(L620&gt;0,L620,"")</f>
        <v>19</v>
      </c>
      <c r="Y620">
        <f>IF(X620="","",IF(X620&gt;Stats!$B$15,"Outlier",""))</f>
        <v/>
      </c>
      <c r="Z620" t="str">
        <f>P620&amp;" vs "&amp;Q620</f>
        <v>Kings XI Punjab vs Royal Challengers Bangalore</v>
      </c>
    </row>
    <row r="621" spans="1:26" x14ac:dyDescent="0.25">
      <c r="A621">
        <v>43</v>
      </c>
      <c r="B621">
        <v>2017</v>
      </c>
      <c r="C621" s="5">
        <v>42861</v>
      </c>
      <c r="D621" t="s">
        <v>172</v>
      </c>
      <c r="E621" t="s">
        <v>44</v>
      </c>
      <c r="F621" t="s">
        <v>49</v>
      </c>
      <c r="G621" t="s">
        <v>49</v>
      </c>
      <c r="H621" t="s">
        <v>173</v>
      </c>
      <c r="I621" t="s">
        <v>174</v>
      </c>
      <c r="J621">
        <v>0</v>
      </c>
      <c r="K621" t="s">
        <v>44</v>
      </c>
      <c r="L621">
        <v>12</v>
      </c>
      <c r="M621">
        <v>0</v>
      </c>
      <c r="N621" t="s">
        <v>271</v>
      </c>
      <c r="O621" t="s">
        <v>111</v>
      </c>
      <c r="P621" t="str">
        <f>INDEX(Teams!$B:$B,MATCH(E621,Teams!$A:$A,0))</f>
        <v>Rising Pune Supergiant</v>
      </c>
      <c r="Q621" t="str">
        <f>INDEX(Teams!$B:$B,MATCH(F621,Teams!$A:$A,0))</f>
        <v>Sunrisers Hyderabad</v>
      </c>
      <c r="R621" t="str">
        <f>INDEX(Teams!$B:$B,MATCH(G621,Teams!$A:$A,0))</f>
        <v>Sunrisers Hyderabad</v>
      </c>
      <c r="S621" t="str">
        <f>IF(K621="","No result",INDEX(Teams!$B:$B,MATCH(K621,Teams!$A:$A,0)))</f>
        <v>Rising Pune Supergiant</v>
      </c>
      <c r="T621" t="str">
        <f>INDEX(Venues!$B:$B,MATCH(O621,Venues!$A:$A,0))</f>
        <v>Rajiv Gandhi International Stadium</v>
      </c>
      <c r="U621" t="str">
        <f>INDEX(Venues!$C:$C,MATCH(O621,Venues!$A:$A,0))</f>
        <v>Hyderabad</v>
      </c>
      <c r="V621" t="str">
        <f>IF(L621&gt;0,L621&amp;" runs",IF(M621&gt;0,M621&amp;" wickets","-"))</f>
        <v>12 runs</v>
      </c>
      <c r="W621">
        <f>IF(G621=K621,1,0)</f>
        <v>0</v>
      </c>
      <c r="X621">
        <f>IF(L621&gt;0,L621,"")</f>
        <v>12</v>
      </c>
      <c r="Y621">
        <f>IF(X621="","",IF(X621&gt;Stats!$B$15,"Outlier",""))</f>
        <v/>
      </c>
      <c r="Z621" t="str">
        <f>P621&amp;" vs "&amp;Q621</f>
        <v>Rising Pune Supergiant vs Sunrisers Hyderabad</v>
      </c>
    </row>
    <row r="622" spans="1:26" x14ac:dyDescent="0.25">
      <c r="A622">
        <v>44</v>
      </c>
      <c r="B622">
        <v>2017</v>
      </c>
      <c r="C622" s="5">
        <v>42861</v>
      </c>
      <c r="D622" t="s">
        <v>172</v>
      </c>
      <c r="E622" t="s">
        <v>35</v>
      </c>
      <c r="F622" t="s">
        <v>20</v>
      </c>
      <c r="G622" t="s">
        <v>20</v>
      </c>
      <c r="H622" t="s">
        <v>173</v>
      </c>
      <c r="I622" t="s">
        <v>174</v>
      </c>
      <c r="J622">
        <v>0</v>
      </c>
      <c r="K622" t="s">
        <v>35</v>
      </c>
      <c r="L622">
        <v>146</v>
      </c>
      <c r="M622">
        <v>0</v>
      </c>
      <c r="N622" t="s">
        <v>340</v>
      </c>
      <c r="O622" t="s">
        <v>75</v>
      </c>
      <c r="P622" t="str">
        <f>INDEX(Teams!$B:$B,MATCH(E622,Teams!$A:$A,0))</f>
        <v>Mumbai Indians</v>
      </c>
      <c r="Q622" t="str">
        <f>INDEX(Teams!$B:$B,MATCH(F622,Teams!$A:$A,0))</f>
        <v>Delhi Capitals</v>
      </c>
      <c r="R622" t="str">
        <f>INDEX(Teams!$B:$B,MATCH(G622,Teams!$A:$A,0))</f>
        <v>Delhi Capitals</v>
      </c>
      <c r="S622" t="str">
        <f>IF(K622="","No result",INDEX(Teams!$B:$B,MATCH(K622,Teams!$A:$A,0)))</f>
        <v>Mumbai Indians</v>
      </c>
      <c r="T622" t="str">
        <f>INDEX(Venues!$B:$B,MATCH(O622,Venues!$A:$A,0))</f>
        <v>Feroz Shah Kotla</v>
      </c>
      <c r="U622" t="str">
        <f>INDEX(Venues!$C:$C,MATCH(O622,Venues!$A:$A,0))</f>
        <v>Delhi</v>
      </c>
      <c r="V622" t="str">
        <f>IF(L622&gt;0,L622&amp;" runs",IF(M622&gt;0,M622&amp;" wickets","-"))</f>
        <v>146 runs</v>
      </c>
      <c r="W622">
        <f>IF(G622=K622,1,0)</f>
        <v>0</v>
      </c>
      <c r="X622">
        <f>IF(L622&gt;0,L622,"")</f>
        <v>146</v>
      </c>
      <c r="Y622" t="str">
        <f>IF(X622="","",IF(X622&gt;Stats!$B$15,"Outlier",""))</f>
        <v>Outlier</v>
      </c>
      <c r="Z622" t="str">
        <f>P622&amp;" vs "&amp;Q622</f>
        <v>Mumbai Indians vs Delhi Capitals</v>
      </c>
    </row>
    <row r="623" spans="1:26" x14ac:dyDescent="0.25">
      <c r="A623">
        <v>45</v>
      </c>
      <c r="B623">
        <v>2017</v>
      </c>
      <c r="C623" s="5">
        <v>42862</v>
      </c>
      <c r="D623" t="s">
        <v>172</v>
      </c>
      <c r="E623" t="s">
        <v>46</v>
      </c>
      <c r="F623" t="s">
        <v>32</v>
      </c>
      <c r="G623" t="s">
        <v>32</v>
      </c>
      <c r="H623" t="s">
        <v>173</v>
      </c>
      <c r="I623" t="s">
        <v>174</v>
      </c>
      <c r="J623">
        <v>0</v>
      </c>
      <c r="K623" t="s">
        <v>32</v>
      </c>
      <c r="L623">
        <v>0</v>
      </c>
      <c r="M623">
        <v>6</v>
      </c>
      <c r="N623" t="s">
        <v>306</v>
      </c>
      <c r="O623" t="s">
        <v>92</v>
      </c>
      <c r="P623" t="str">
        <f>INDEX(Teams!$B:$B,MATCH(E623,Teams!$A:$A,0))</f>
        <v>Royal Challengers Bangalore</v>
      </c>
      <c r="Q623" t="str">
        <f>INDEX(Teams!$B:$B,MATCH(F623,Teams!$A:$A,0))</f>
        <v>Kolkata Knight Riders</v>
      </c>
      <c r="R623" t="str">
        <f>INDEX(Teams!$B:$B,MATCH(G623,Teams!$A:$A,0))</f>
        <v>Kolkata Knight Riders</v>
      </c>
      <c r="S623" t="str">
        <f>IF(K623="","No result",INDEX(Teams!$B:$B,MATCH(K623,Teams!$A:$A,0)))</f>
        <v>Kolkata Knight Riders</v>
      </c>
      <c r="T623" t="str">
        <f>INDEX(Venues!$B:$B,MATCH(O623,Venues!$A:$A,0))</f>
        <v>M Chinnaswamy Stadium</v>
      </c>
      <c r="U623" t="str">
        <f>INDEX(Venues!$C:$C,MATCH(O623,Venues!$A:$A,0))</f>
        <v>Bangalore</v>
      </c>
      <c r="V623" t="str">
        <f>IF(L623&gt;0,L623&amp;" runs",IF(M623&gt;0,M623&amp;" wickets","-"))</f>
        <v>6 wickets</v>
      </c>
      <c r="W623">
        <f>IF(G623=K623,1,0)</f>
        <v>1</v>
      </c>
      <c r="X623">
        <f>IF(L623&gt;0,L623,"")</f>
        <v/>
      </c>
      <c r="Y623">
        <f>IF(X623="","",IF(X623&gt;Stats!$B$15,"Outlier",""))</f>
        <v/>
      </c>
      <c r="Z623" t="str">
        <f>P623&amp;" vs "&amp;Q623</f>
        <v>Royal Challengers Bangalore vs Kolkata Knight Riders</v>
      </c>
    </row>
    <row r="624" spans="1:26" x14ac:dyDescent="0.25">
      <c r="A624">
        <v>46</v>
      </c>
      <c r="B624">
        <v>2017</v>
      </c>
      <c r="C624" s="5">
        <v>42862</v>
      </c>
      <c r="D624" t="s">
        <v>172</v>
      </c>
      <c r="E624" t="s">
        <v>26</v>
      </c>
      <c r="F624" t="s">
        <v>23</v>
      </c>
      <c r="G624" t="s">
        <v>23</v>
      </c>
      <c r="H624" t="s">
        <v>173</v>
      </c>
      <c r="I624" t="s">
        <v>174</v>
      </c>
      <c r="J624">
        <v>0</v>
      </c>
      <c r="K624" t="s">
        <v>23</v>
      </c>
      <c r="L624">
        <v>0</v>
      </c>
      <c r="M624">
        <v>6</v>
      </c>
      <c r="N624" t="s">
        <v>238</v>
      </c>
      <c r="O624" t="s">
        <v>109</v>
      </c>
      <c r="P624" t="str">
        <f>INDEX(Teams!$B:$B,MATCH(E624,Teams!$A:$A,0))</f>
        <v>Kings XI Punjab</v>
      </c>
      <c r="Q624" t="str">
        <f>INDEX(Teams!$B:$B,MATCH(F624,Teams!$A:$A,0))</f>
        <v>Gujarat Lions</v>
      </c>
      <c r="R624" t="str">
        <f>INDEX(Teams!$B:$B,MATCH(G624,Teams!$A:$A,0))</f>
        <v>Gujarat Lions</v>
      </c>
      <c r="S624" t="str">
        <f>IF(K624="","No result",INDEX(Teams!$B:$B,MATCH(K624,Teams!$A:$A,0)))</f>
        <v>Gujarat Lions</v>
      </c>
      <c r="T624" t="str">
        <f>INDEX(Venues!$B:$B,MATCH(O624,Venues!$A:$A,0))</f>
        <v>Punjab Cricket Association IS Bindra Stadium</v>
      </c>
      <c r="U624" t="str">
        <f>INDEX(Venues!$C:$C,MATCH(O624,Venues!$A:$A,0))</f>
        <v>Chandigarh</v>
      </c>
      <c r="V624" t="str">
        <f>IF(L624&gt;0,L624&amp;" runs",IF(M624&gt;0,M624&amp;" wickets","-"))</f>
        <v>6 wickets</v>
      </c>
      <c r="W624">
        <f>IF(G624=K624,1,0)</f>
        <v>1</v>
      </c>
      <c r="X624">
        <f>IF(L624&gt;0,L624,"")</f>
        <v/>
      </c>
      <c r="Y624">
        <f>IF(X624="","",IF(X624&gt;Stats!$B$15,"Outlier",""))</f>
        <v/>
      </c>
      <c r="Z624" t="str">
        <f>P624&amp;" vs "&amp;Q624</f>
        <v>Kings XI Punjab vs Gujarat Lions</v>
      </c>
    </row>
    <row r="625" spans="1:26" x14ac:dyDescent="0.25">
      <c r="A625">
        <v>47</v>
      </c>
      <c r="B625">
        <v>2017</v>
      </c>
      <c r="C625" s="5">
        <v>42863</v>
      </c>
      <c r="D625" t="s">
        <v>172</v>
      </c>
      <c r="E625" t="s">
        <v>35</v>
      </c>
      <c r="F625" t="s">
        <v>49</v>
      </c>
      <c r="G625" t="s">
        <v>35</v>
      </c>
      <c r="H625" t="s">
        <v>176</v>
      </c>
      <c r="I625" t="s">
        <v>174</v>
      </c>
      <c r="J625">
        <v>0</v>
      </c>
      <c r="K625" t="s">
        <v>49</v>
      </c>
      <c r="L625">
        <v>0</v>
      </c>
      <c r="M625">
        <v>7</v>
      </c>
      <c r="N625" t="s">
        <v>292</v>
      </c>
      <c r="O625" t="s">
        <v>111</v>
      </c>
      <c r="P625" t="str">
        <f>INDEX(Teams!$B:$B,MATCH(E625,Teams!$A:$A,0))</f>
        <v>Mumbai Indians</v>
      </c>
      <c r="Q625" t="str">
        <f>INDEX(Teams!$B:$B,MATCH(F625,Teams!$A:$A,0))</f>
        <v>Sunrisers Hyderabad</v>
      </c>
      <c r="R625" t="str">
        <f>INDEX(Teams!$B:$B,MATCH(G625,Teams!$A:$A,0))</f>
        <v>Mumbai Indians</v>
      </c>
      <c r="S625" t="str">
        <f>IF(K625="","No result",INDEX(Teams!$B:$B,MATCH(K625,Teams!$A:$A,0)))</f>
        <v>Sunrisers Hyderabad</v>
      </c>
      <c r="T625" t="str">
        <f>INDEX(Venues!$B:$B,MATCH(O625,Venues!$A:$A,0))</f>
        <v>Rajiv Gandhi International Stadium</v>
      </c>
      <c r="U625" t="str">
        <f>INDEX(Venues!$C:$C,MATCH(O625,Venues!$A:$A,0))</f>
        <v>Hyderabad</v>
      </c>
      <c r="V625" t="str">
        <f>IF(L625&gt;0,L625&amp;" runs",IF(M625&gt;0,M625&amp;" wickets","-"))</f>
        <v>7 wickets</v>
      </c>
      <c r="W625">
        <f>IF(G625=K625,1,0)</f>
        <v>0</v>
      </c>
      <c r="X625">
        <f>IF(L625&gt;0,L625,"")</f>
        <v/>
      </c>
      <c r="Y625">
        <f>IF(X625="","",IF(X625&gt;Stats!$B$15,"Outlier",""))</f>
        <v/>
      </c>
      <c r="Z625" t="str">
        <f>P625&amp;" vs "&amp;Q625</f>
        <v>Mumbai Indians vs Sunrisers Hyderabad</v>
      </c>
    </row>
    <row r="626" spans="1:26" x14ac:dyDescent="0.25">
      <c r="A626">
        <v>48</v>
      </c>
      <c r="B626">
        <v>2017</v>
      </c>
      <c r="C626" s="5">
        <v>42864</v>
      </c>
      <c r="D626" t="s">
        <v>172</v>
      </c>
      <c r="E626" t="s">
        <v>26</v>
      </c>
      <c r="F626" t="s">
        <v>32</v>
      </c>
      <c r="G626" t="s">
        <v>32</v>
      </c>
      <c r="H626" t="s">
        <v>173</v>
      </c>
      <c r="I626" t="s">
        <v>174</v>
      </c>
      <c r="J626">
        <v>0</v>
      </c>
      <c r="K626" t="s">
        <v>26</v>
      </c>
      <c r="L626">
        <v>14</v>
      </c>
      <c r="M626">
        <v>0</v>
      </c>
      <c r="N626" t="s">
        <v>333</v>
      </c>
      <c r="O626" t="s">
        <v>109</v>
      </c>
      <c r="P626" t="str">
        <f>INDEX(Teams!$B:$B,MATCH(E626,Teams!$A:$A,0))</f>
        <v>Kings XI Punjab</v>
      </c>
      <c r="Q626" t="str">
        <f>INDEX(Teams!$B:$B,MATCH(F626,Teams!$A:$A,0))</f>
        <v>Kolkata Knight Riders</v>
      </c>
      <c r="R626" t="str">
        <f>INDEX(Teams!$B:$B,MATCH(G626,Teams!$A:$A,0))</f>
        <v>Kolkata Knight Riders</v>
      </c>
      <c r="S626" t="str">
        <f>IF(K626="","No result",INDEX(Teams!$B:$B,MATCH(K626,Teams!$A:$A,0)))</f>
        <v>Kings XI Punjab</v>
      </c>
      <c r="T626" t="str">
        <f>INDEX(Venues!$B:$B,MATCH(O626,Venues!$A:$A,0))</f>
        <v>Punjab Cricket Association IS Bindra Stadium</v>
      </c>
      <c r="U626" t="str">
        <f>INDEX(Venues!$C:$C,MATCH(O626,Venues!$A:$A,0))</f>
        <v>Chandigarh</v>
      </c>
      <c r="V626" t="str">
        <f>IF(L626&gt;0,L626&amp;" runs",IF(M626&gt;0,M626&amp;" wickets","-"))</f>
        <v>14 runs</v>
      </c>
      <c r="W626">
        <f>IF(G626=K626,1,0)</f>
        <v>0</v>
      </c>
      <c r="X626">
        <f>IF(L626&gt;0,L626,"")</f>
        <v>14</v>
      </c>
      <c r="Y626">
        <f>IF(X626="","",IF(X626&gt;Stats!$B$15,"Outlier",""))</f>
        <v/>
      </c>
      <c r="Z626" t="str">
        <f>P626&amp;" vs "&amp;Q626</f>
        <v>Kings XI Punjab vs Kolkata Knight Riders</v>
      </c>
    </row>
    <row r="627" spans="1:26" x14ac:dyDescent="0.25">
      <c r="A627">
        <v>49</v>
      </c>
      <c r="B627">
        <v>2017</v>
      </c>
      <c r="C627" s="5">
        <v>42865</v>
      </c>
      <c r="D627" t="s">
        <v>172</v>
      </c>
      <c r="E627" t="s">
        <v>23</v>
      </c>
      <c r="F627" t="s">
        <v>20</v>
      </c>
      <c r="G627" t="s">
        <v>20</v>
      </c>
      <c r="H627" t="s">
        <v>173</v>
      </c>
      <c r="I627" t="s">
        <v>174</v>
      </c>
      <c r="J627">
        <v>0</v>
      </c>
      <c r="K627" t="s">
        <v>20</v>
      </c>
      <c r="L627">
        <v>0</v>
      </c>
      <c r="M627">
        <v>2</v>
      </c>
      <c r="N627" t="s">
        <v>345</v>
      </c>
      <c r="O627" t="s">
        <v>77</v>
      </c>
      <c r="P627" t="str">
        <f>INDEX(Teams!$B:$B,MATCH(E627,Teams!$A:$A,0))</f>
        <v>Gujarat Lions</v>
      </c>
      <c r="Q627" t="str">
        <f>INDEX(Teams!$B:$B,MATCH(F627,Teams!$A:$A,0))</f>
        <v>Delhi Capitals</v>
      </c>
      <c r="R627" t="str">
        <f>INDEX(Teams!$B:$B,MATCH(G627,Teams!$A:$A,0))</f>
        <v>Delhi Capitals</v>
      </c>
      <c r="S627" t="str">
        <f>IF(K627="","No result",INDEX(Teams!$B:$B,MATCH(K627,Teams!$A:$A,0)))</f>
        <v>Delhi Capitals</v>
      </c>
      <c r="T627" t="str">
        <f>INDEX(Venues!$B:$B,MATCH(O627,Venues!$A:$A,0))</f>
        <v>Green Park</v>
      </c>
      <c r="U627" t="str">
        <f>INDEX(Venues!$C:$C,MATCH(O627,Venues!$A:$A,0))</f>
        <v>Kanpur</v>
      </c>
      <c r="V627" t="str">
        <f>IF(L627&gt;0,L627&amp;" runs",IF(M627&gt;0,M627&amp;" wickets","-"))</f>
        <v>2 wickets</v>
      </c>
      <c r="W627">
        <f>IF(G627=K627,1,0)</f>
        <v>1</v>
      </c>
      <c r="X627">
        <f>IF(L627&gt;0,L627,"")</f>
        <v/>
      </c>
      <c r="Y627">
        <f>IF(X627="","",IF(X627&gt;Stats!$B$15,"Outlier",""))</f>
        <v/>
      </c>
      <c r="Z627" t="str">
        <f>P627&amp;" vs "&amp;Q627</f>
        <v>Gujarat Lions vs Delhi Capitals</v>
      </c>
    </row>
    <row r="628" spans="1:26" x14ac:dyDescent="0.25">
      <c r="A628">
        <v>50</v>
      </c>
      <c r="B628">
        <v>2017</v>
      </c>
      <c r="C628" s="5">
        <v>42866</v>
      </c>
      <c r="D628" t="s">
        <v>172</v>
      </c>
      <c r="E628" t="s">
        <v>26</v>
      </c>
      <c r="F628" t="s">
        <v>35</v>
      </c>
      <c r="G628" t="s">
        <v>35</v>
      </c>
      <c r="H628" t="s">
        <v>173</v>
      </c>
      <c r="I628" t="s">
        <v>174</v>
      </c>
      <c r="J628">
        <v>0</v>
      </c>
      <c r="K628" t="s">
        <v>26</v>
      </c>
      <c r="L628">
        <v>7</v>
      </c>
      <c r="M628">
        <v>0</v>
      </c>
      <c r="N628" t="s">
        <v>291</v>
      </c>
      <c r="O628" t="s">
        <v>138</v>
      </c>
      <c r="P628" t="str">
        <f>INDEX(Teams!$B:$B,MATCH(E628,Teams!$A:$A,0))</f>
        <v>Kings XI Punjab</v>
      </c>
      <c r="Q628" t="str">
        <f>INDEX(Teams!$B:$B,MATCH(F628,Teams!$A:$A,0))</f>
        <v>Mumbai Indians</v>
      </c>
      <c r="R628" t="str">
        <f>INDEX(Teams!$B:$B,MATCH(G628,Teams!$A:$A,0))</f>
        <v>Mumbai Indians</v>
      </c>
      <c r="S628" t="str">
        <f>IF(K628="","No result",INDEX(Teams!$B:$B,MATCH(K628,Teams!$A:$A,0)))</f>
        <v>Kings XI Punjab</v>
      </c>
      <c r="T628" t="str">
        <f>INDEX(Venues!$B:$B,MATCH(O628,Venues!$A:$A,0))</f>
        <v>Wankhede Stadium</v>
      </c>
      <c r="U628" t="str">
        <f>INDEX(Venues!$C:$C,MATCH(O628,Venues!$A:$A,0))</f>
        <v>Mumbai</v>
      </c>
      <c r="V628" t="str">
        <f>IF(L628&gt;0,L628&amp;" runs",IF(M628&gt;0,M628&amp;" wickets","-"))</f>
        <v>7 runs</v>
      </c>
      <c r="W628">
        <f>IF(G628=K628,1,0)</f>
        <v>0</v>
      </c>
      <c r="X628">
        <f>IF(L628&gt;0,L628,"")</f>
        <v>7</v>
      </c>
      <c r="Y628">
        <f>IF(X628="","",IF(X628&gt;Stats!$B$15,"Outlier",""))</f>
        <v/>
      </c>
      <c r="Z628" t="str">
        <f>P628&amp;" vs "&amp;Q628</f>
        <v>Kings XI Punjab vs Mumbai Indians</v>
      </c>
    </row>
    <row r="629" spans="1:26" x14ac:dyDescent="0.25">
      <c r="A629">
        <v>51</v>
      </c>
      <c r="B629">
        <v>2017</v>
      </c>
      <c r="C629" s="5">
        <v>42867</v>
      </c>
      <c r="D629" t="s">
        <v>172</v>
      </c>
      <c r="E629" t="s">
        <v>20</v>
      </c>
      <c r="F629" t="s">
        <v>44</v>
      </c>
      <c r="G629" t="s">
        <v>20</v>
      </c>
      <c r="H629" t="s">
        <v>176</v>
      </c>
      <c r="I629" t="s">
        <v>174</v>
      </c>
      <c r="J629">
        <v>0</v>
      </c>
      <c r="K629" t="s">
        <v>20</v>
      </c>
      <c r="L629">
        <v>7</v>
      </c>
      <c r="M629">
        <v>0</v>
      </c>
      <c r="N629" t="s">
        <v>338</v>
      </c>
      <c r="O629" t="s">
        <v>75</v>
      </c>
      <c r="P629" t="str">
        <f>INDEX(Teams!$B:$B,MATCH(E629,Teams!$A:$A,0))</f>
        <v>Delhi Capitals</v>
      </c>
      <c r="Q629" t="str">
        <f>INDEX(Teams!$B:$B,MATCH(F629,Teams!$A:$A,0))</f>
        <v>Rising Pune Supergiant</v>
      </c>
      <c r="R629" t="str">
        <f>INDEX(Teams!$B:$B,MATCH(G629,Teams!$A:$A,0))</f>
        <v>Delhi Capitals</v>
      </c>
      <c r="S629" t="str">
        <f>IF(K629="","No result",INDEX(Teams!$B:$B,MATCH(K629,Teams!$A:$A,0)))</f>
        <v>Delhi Capitals</v>
      </c>
      <c r="T629" t="str">
        <f>INDEX(Venues!$B:$B,MATCH(O629,Venues!$A:$A,0))</f>
        <v>Feroz Shah Kotla</v>
      </c>
      <c r="U629" t="str">
        <f>INDEX(Venues!$C:$C,MATCH(O629,Venues!$A:$A,0))</f>
        <v>Delhi</v>
      </c>
      <c r="V629" t="str">
        <f>IF(L629&gt;0,L629&amp;" runs",IF(M629&gt;0,M629&amp;" wickets","-"))</f>
        <v>7 runs</v>
      </c>
      <c r="W629">
        <f>IF(G629=K629,1,0)</f>
        <v>1</v>
      </c>
      <c r="X629">
        <f>IF(L629&gt;0,L629,"")</f>
        <v>7</v>
      </c>
      <c r="Y629">
        <f>IF(X629="","",IF(X629&gt;Stats!$B$15,"Outlier",""))</f>
        <v/>
      </c>
      <c r="Z629" t="str">
        <f>P629&amp;" vs "&amp;Q629</f>
        <v>Delhi Capitals vs Rising Pune Supergiant</v>
      </c>
    </row>
    <row r="630" spans="1:26" x14ac:dyDescent="0.25">
      <c r="A630">
        <v>52</v>
      </c>
      <c r="B630">
        <v>2017</v>
      </c>
      <c r="C630" s="5">
        <v>42868</v>
      </c>
      <c r="D630" t="s">
        <v>172</v>
      </c>
      <c r="E630" t="s">
        <v>23</v>
      </c>
      <c r="F630" t="s">
        <v>49</v>
      </c>
      <c r="G630" t="s">
        <v>49</v>
      </c>
      <c r="H630" t="s">
        <v>173</v>
      </c>
      <c r="I630" t="s">
        <v>174</v>
      </c>
      <c r="J630">
        <v>0</v>
      </c>
      <c r="K630" t="s">
        <v>49</v>
      </c>
      <c r="L630">
        <v>0</v>
      </c>
      <c r="M630">
        <v>8</v>
      </c>
      <c r="N630" t="s">
        <v>377</v>
      </c>
      <c r="O630" t="s">
        <v>77</v>
      </c>
      <c r="P630" t="str">
        <f>INDEX(Teams!$B:$B,MATCH(E630,Teams!$A:$A,0))</f>
        <v>Gujarat Lions</v>
      </c>
      <c r="Q630" t="str">
        <f>INDEX(Teams!$B:$B,MATCH(F630,Teams!$A:$A,0))</f>
        <v>Sunrisers Hyderabad</v>
      </c>
      <c r="R630" t="str">
        <f>INDEX(Teams!$B:$B,MATCH(G630,Teams!$A:$A,0))</f>
        <v>Sunrisers Hyderabad</v>
      </c>
      <c r="S630" t="str">
        <f>IF(K630="","No result",INDEX(Teams!$B:$B,MATCH(K630,Teams!$A:$A,0)))</f>
        <v>Sunrisers Hyderabad</v>
      </c>
      <c r="T630" t="str">
        <f>INDEX(Venues!$B:$B,MATCH(O630,Venues!$A:$A,0))</f>
        <v>Green Park</v>
      </c>
      <c r="U630" t="str">
        <f>INDEX(Venues!$C:$C,MATCH(O630,Venues!$A:$A,0))</f>
        <v>Kanpur</v>
      </c>
      <c r="V630" t="str">
        <f>IF(L630&gt;0,L630&amp;" runs",IF(M630&gt;0,M630&amp;" wickets","-"))</f>
        <v>8 wickets</v>
      </c>
      <c r="W630">
        <f>IF(G630=K630,1,0)</f>
        <v>1</v>
      </c>
      <c r="X630">
        <f>IF(L630&gt;0,L630,"")</f>
        <v/>
      </c>
      <c r="Y630">
        <f>IF(X630="","",IF(X630&gt;Stats!$B$15,"Outlier",""))</f>
        <v/>
      </c>
      <c r="Z630" t="str">
        <f>P630&amp;" vs "&amp;Q630</f>
        <v>Gujarat Lions vs Sunrisers Hyderabad</v>
      </c>
    </row>
    <row r="631" spans="1:26" x14ac:dyDescent="0.25">
      <c r="A631">
        <v>53</v>
      </c>
      <c r="B631">
        <v>2017</v>
      </c>
      <c r="C631" s="5">
        <v>42868</v>
      </c>
      <c r="D631" t="s">
        <v>172</v>
      </c>
      <c r="E631" t="s">
        <v>35</v>
      </c>
      <c r="F631" t="s">
        <v>32</v>
      </c>
      <c r="G631" t="s">
        <v>32</v>
      </c>
      <c r="H631" t="s">
        <v>173</v>
      </c>
      <c r="I631" t="s">
        <v>174</v>
      </c>
      <c r="J631">
        <v>0</v>
      </c>
      <c r="K631" t="s">
        <v>35</v>
      </c>
      <c r="L631">
        <v>9</v>
      </c>
      <c r="M631">
        <v>0</v>
      </c>
      <c r="N631" t="s">
        <v>261</v>
      </c>
      <c r="O631" t="s">
        <v>73</v>
      </c>
      <c r="P631" t="str">
        <f>INDEX(Teams!$B:$B,MATCH(E631,Teams!$A:$A,0))</f>
        <v>Mumbai Indians</v>
      </c>
      <c r="Q631" t="str">
        <f>INDEX(Teams!$B:$B,MATCH(F631,Teams!$A:$A,0))</f>
        <v>Kolkata Knight Riders</v>
      </c>
      <c r="R631" t="str">
        <f>INDEX(Teams!$B:$B,MATCH(G631,Teams!$A:$A,0))</f>
        <v>Kolkata Knight Riders</v>
      </c>
      <c r="S631" t="str">
        <f>IF(K631="","No result",INDEX(Teams!$B:$B,MATCH(K631,Teams!$A:$A,0)))</f>
        <v>Mumbai Indians</v>
      </c>
      <c r="T631" t="str">
        <f>INDEX(Venues!$B:$B,MATCH(O631,Venues!$A:$A,0))</f>
        <v>Eden Gardens</v>
      </c>
      <c r="U631" t="str">
        <f>INDEX(Venues!$C:$C,MATCH(O631,Venues!$A:$A,0))</f>
        <v>Kolkata</v>
      </c>
      <c r="V631" t="str">
        <f>IF(L631&gt;0,L631&amp;" runs",IF(M631&gt;0,M631&amp;" wickets","-"))</f>
        <v>9 runs</v>
      </c>
      <c r="W631">
        <f>IF(G631=K631,1,0)</f>
        <v>0</v>
      </c>
      <c r="X631">
        <f>IF(L631&gt;0,L631,"")</f>
        <v>9</v>
      </c>
      <c r="Y631">
        <f>IF(X631="","",IF(X631&gt;Stats!$B$15,"Outlier",""))</f>
        <v/>
      </c>
      <c r="Z631" t="str">
        <f>P631&amp;" vs "&amp;Q631</f>
        <v>Mumbai Indians vs Kolkata Knight Riders</v>
      </c>
    </row>
    <row r="632" spans="1:26" x14ac:dyDescent="0.25">
      <c r="A632">
        <v>54</v>
      </c>
      <c r="B632">
        <v>2017</v>
      </c>
      <c r="C632" s="5">
        <v>42869</v>
      </c>
      <c r="D632" t="s">
        <v>172</v>
      </c>
      <c r="E632" t="s">
        <v>26</v>
      </c>
      <c r="F632" t="s">
        <v>44</v>
      </c>
      <c r="G632" t="s">
        <v>44</v>
      </c>
      <c r="H632" t="s">
        <v>173</v>
      </c>
      <c r="I632" t="s">
        <v>174</v>
      </c>
      <c r="J632">
        <v>0</v>
      </c>
      <c r="K632" t="s">
        <v>44</v>
      </c>
      <c r="L632">
        <v>0</v>
      </c>
      <c r="M632">
        <v>9</v>
      </c>
      <c r="N632" t="s">
        <v>271</v>
      </c>
      <c r="O632" t="s">
        <v>96</v>
      </c>
      <c r="P632" t="str">
        <f>INDEX(Teams!$B:$B,MATCH(E632,Teams!$A:$A,0))</f>
        <v>Kings XI Punjab</v>
      </c>
      <c r="Q632" t="str">
        <f>INDEX(Teams!$B:$B,MATCH(F632,Teams!$A:$A,0))</f>
        <v>Rising Pune Supergiant</v>
      </c>
      <c r="R632" t="str">
        <f>INDEX(Teams!$B:$B,MATCH(G632,Teams!$A:$A,0))</f>
        <v>Rising Pune Supergiant</v>
      </c>
      <c r="S632" t="str">
        <f>IF(K632="","No result",INDEX(Teams!$B:$B,MATCH(K632,Teams!$A:$A,0)))</f>
        <v>Rising Pune Supergiant</v>
      </c>
      <c r="T632" t="str">
        <f>INDEX(Venues!$B:$B,MATCH(O632,Venues!$A:$A,0))</f>
        <v>Maharashtra Cricket Association Stadium</v>
      </c>
      <c r="U632" t="str">
        <f>INDEX(Venues!$C:$C,MATCH(O632,Venues!$A:$A,0))</f>
        <v>Pune</v>
      </c>
      <c r="V632" t="str">
        <f>IF(L632&gt;0,L632&amp;" runs",IF(M632&gt;0,M632&amp;" wickets","-"))</f>
        <v>9 wickets</v>
      </c>
      <c r="W632">
        <f>IF(G632=K632,1,0)</f>
        <v>1</v>
      </c>
      <c r="X632">
        <f>IF(L632&gt;0,L632,"")</f>
        <v/>
      </c>
      <c r="Y632">
        <f>IF(X632="","",IF(X632&gt;Stats!$B$15,"Outlier",""))</f>
        <v/>
      </c>
      <c r="Z632" t="str">
        <f>P632&amp;" vs "&amp;Q632</f>
        <v>Kings XI Punjab vs Rising Pune Supergiant</v>
      </c>
    </row>
    <row r="633" spans="1:26" x14ac:dyDescent="0.25">
      <c r="A633">
        <v>55</v>
      </c>
      <c r="B633">
        <v>2017</v>
      </c>
      <c r="C633" s="5">
        <v>42869</v>
      </c>
      <c r="D633" t="s">
        <v>172</v>
      </c>
      <c r="E633" t="s">
        <v>46</v>
      </c>
      <c r="F633" t="s">
        <v>20</v>
      </c>
      <c r="G633" t="s">
        <v>46</v>
      </c>
      <c r="H633" t="s">
        <v>176</v>
      </c>
      <c r="I633" t="s">
        <v>174</v>
      </c>
      <c r="J633">
        <v>0</v>
      </c>
      <c r="K633" t="s">
        <v>46</v>
      </c>
      <c r="L633">
        <v>10</v>
      </c>
      <c r="M633">
        <v>0</v>
      </c>
      <c r="N633" t="s">
        <v>378</v>
      </c>
      <c r="O633" t="s">
        <v>75</v>
      </c>
      <c r="P633" t="str">
        <f>INDEX(Teams!$B:$B,MATCH(E633,Teams!$A:$A,0))</f>
        <v>Royal Challengers Bangalore</v>
      </c>
      <c r="Q633" t="str">
        <f>INDEX(Teams!$B:$B,MATCH(F633,Teams!$A:$A,0))</f>
        <v>Delhi Capitals</v>
      </c>
      <c r="R633" t="str">
        <f>INDEX(Teams!$B:$B,MATCH(G633,Teams!$A:$A,0))</f>
        <v>Royal Challengers Bangalore</v>
      </c>
      <c r="S633" t="str">
        <f>IF(K633="","No result",INDEX(Teams!$B:$B,MATCH(K633,Teams!$A:$A,0)))</f>
        <v>Royal Challengers Bangalore</v>
      </c>
      <c r="T633" t="str">
        <f>INDEX(Venues!$B:$B,MATCH(O633,Venues!$A:$A,0))</f>
        <v>Feroz Shah Kotla</v>
      </c>
      <c r="U633" t="str">
        <f>INDEX(Venues!$C:$C,MATCH(O633,Venues!$A:$A,0))</f>
        <v>Delhi</v>
      </c>
      <c r="V633" t="str">
        <f>IF(L633&gt;0,L633&amp;" runs",IF(M633&gt;0,M633&amp;" wickets","-"))</f>
        <v>10 runs</v>
      </c>
      <c r="W633">
        <f>IF(G633=K633,1,0)</f>
        <v>1</v>
      </c>
      <c r="X633">
        <f>IF(L633&gt;0,L633,"")</f>
        <v>10</v>
      </c>
      <c r="Y633">
        <f>IF(X633="","",IF(X633&gt;Stats!$B$15,"Outlier",""))</f>
        <v/>
      </c>
      <c r="Z633" t="str">
        <f>P633&amp;" vs "&amp;Q633</f>
        <v>Royal Challengers Bangalore vs Delhi Capitals</v>
      </c>
    </row>
    <row r="634" spans="1:26" x14ac:dyDescent="0.25">
      <c r="A634">
        <v>56</v>
      </c>
      <c r="B634">
        <v>2017</v>
      </c>
      <c r="C634" s="5">
        <v>42871</v>
      </c>
      <c r="D634" t="s">
        <v>172</v>
      </c>
      <c r="E634" t="s">
        <v>44</v>
      </c>
      <c r="F634" t="s">
        <v>35</v>
      </c>
      <c r="G634" t="s">
        <v>35</v>
      </c>
      <c r="H634" t="s">
        <v>173</v>
      </c>
      <c r="I634" t="s">
        <v>174</v>
      </c>
      <c r="J634">
        <v>0</v>
      </c>
      <c r="K634" t="s">
        <v>44</v>
      </c>
      <c r="L634">
        <v>20</v>
      </c>
      <c r="M634">
        <v>0</v>
      </c>
      <c r="N634" t="s">
        <v>379</v>
      </c>
      <c r="O634" t="s">
        <v>138</v>
      </c>
      <c r="P634" t="str">
        <f>INDEX(Teams!$B:$B,MATCH(E634,Teams!$A:$A,0))</f>
        <v>Rising Pune Supergiant</v>
      </c>
      <c r="Q634" t="str">
        <f>INDEX(Teams!$B:$B,MATCH(F634,Teams!$A:$A,0))</f>
        <v>Mumbai Indians</v>
      </c>
      <c r="R634" t="str">
        <f>INDEX(Teams!$B:$B,MATCH(G634,Teams!$A:$A,0))</f>
        <v>Mumbai Indians</v>
      </c>
      <c r="S634" t="str">
        <f>IF(K634="","No result",INDEX(Teams!$B:$B,MATCH(K634,Teams!$A:$A,0)))</f>
        <v>Rising Pune Supergiant</v>
      </c>
      <c r="T634" t="str">
        <f>INDEX(Venues!$B:$B,MATCH(O634,Venues!$A:$A,0))</f>
        <v>Wankhede Stadium</v>
      </c>
      <c r="U634" t="str">
        <f>INDEX(Venues!$C:$C,MATCH(O634,Venues!$A:$A,0))</f>
        <v>Mumbai</v>
      </c>
      <c r="V634" t="str">
        <f>IF(L634&gt;0,L634&amp;" runs",IF(M634&gt;0,M634&amp;" wickets","-"))</f>
        <v>20 runs</v>
      </c>
      <c r="W634">
        <f>IF(G634=K634,1,0)</f>
        <v>0</v>
      </c>
      <c r="X634">
        <f>IF(L634&gt;0,L634,"")</f>
        <v>20</v>
      </c>
      <c r="Y634">
        <f>IF(X634="","",IF(X634&gt;Stats!$B$15,"Outlier",""))</f>
        <v/>
      </c>
      <c r="Z634" t="str">
        <f>P634&amp;" vs "&amp;Q634</f>
        <v>Rising Pune Supergiant vs Mumbai Indians</v>
      </c>
    </row>
    <row r="635" spans="1:26" x14ac:dyDescent="0.25">
      <c r="A635">
        <v>57</v>
      </c>
      <c r="B635">
        <v>2017</v>
      </c>
      <c r="C635" s="5">
        <v>42872</v>
      </c>
      <c r="D635" t="s">
        <v>172</v>
      </c>
      <c r="E635" t="s">
        <v>49</v>
      </c>
      <c r="F635" t="s">
        <v>32</v>
      </c>
      <c r="G635" t="s">
        <v>32</v>
      </c>
      <c r="H635" t="s">
        <v>173</v>
      </c>
      <c r="I635" t="s">
        <v>174</v>
      </c>
      <c r="J635">
        <v>1</v>
      </c>
      <c r="K635" t="s">
        <v>32</v>
      </c>
      <c r="L635">
        <v>0</v>
      </c>
      <c r="M635">
        <v>7</v>
      </c>
      <c r="N635" t="s">
        <v>349</v>
      </c>
      <c r="O635" t="s">
        <v>92</v>
      </c>
      <c r="P635" t="str">
        <f>INDEX(Teams!$B:$B,MATCH(E635,Teams!$A:$A,0))</f>
        <v>Sunrisers Hyderabad</v>
      </c>
      <c r="Q635" t="str">
        <f>INDEX(Teams!$B:$B,MATCH(F635,Teams!$A:$A,0))</f>
        <v>Kolkata Knight Riders</v>
      </c>
      <c r="R635" t="str">
        <f>INDEX(Teams!$B:$B,MATCH(G635,Teams!$A:$A,0))</f>
        <v>Kolkata Knight Riders</v>
      </c>
      <c r="S635" t="str">
        <f>IF(K635="","No result",INDEX(Teams!$B:$B,MATCH(K635,Teams!$A:$A,0)))</f>
        <v>Kolkata Knight Riders</v>
      </c>
      <c r="T635" t="str">
        <f>INDEX(Venues!$B:$B,MATCH(O635,Venues!$A:$A,0))</f>
        <v>M Chinnaswamy Stadium</v>
      </c>
      <c r="U635" t="str">
        <f>INDEX(Venues!$C:$C,MATCH(O635,Venues!$A:$A,0))</f>
        <v>Bangalore</v>
      </c>
      <c r="V635" t="str">
        <f>IF(L635&gt;0,L635&amp;" runs",IF(M635&gt;0,M635&amp;" wickets","-"))</f>
        <v>7 wickets</v>
      </c>
      <c r="W635">
        <f>IF(G635=K635,1,0)</f>
        <v>1</v>
      </c>
      <c r="X635">
        <f>IF(L635&gt;0,L635,"")</f>
        <v/>
      </c>
      <c r="Y635">
        <f>IF(X635="","",IF(X635&gt;Stats!$B$15,"Outlier",""))</f>
        <v/>
      </c>
      <c r="Z635" t="str">
        <f>P635&amp;" vs "&amp;Q635</f>
        <v>Sunrisers Hyderabad vs Kolkata Knight Riders</v>
      </c>
    </row>
    <row r="636" spans="1:26" x14ac:dyDescent="0.25">
      <c r="A636">
        <v>58</v>
      </c>
      <c r="B636">
        <v>2017</v>
      </c>
      <c r="C636" s="5">
        <v>42874</v>
      </c>
      <c r="D636" t="s">
        <v>172</v>
      </c>
      <c r="E636" t="s">
        <v>32</v>
      </c>
      <c r="F636" t="s">
        <v>35</v>
      </c>
      <c r="G636" t="s">
        <v>35</v>
      </c>
      <c r="H636" t="s">
        <v>173</v>
      </c>
      <c r="I636" t="s">
        <v>174</v>
      </c>
      <c r="J636">
        <v>0</v>
      </c>
      <c r="K636" t="s">
        <v>35</v>
      </c>
      <c r="L636">
        <v>0</v>
      </c>
      <c r="M636">
        <v>6</v>
      </c>
      <c r="N636" t="s">
        <v>380</v>
      </c>
      <c r="O636" t="s">
        <v>92</v>
      </c>
      <c r="P636" t="str">
        <f>INDEX(Teams!$B:$B,MATCH(E636,Teams!$A:$A,0))</f>
        <v>Kolkata Knight Riders</v>
      </c>
      <c r="Q636" t="str">
        <f>INDEX(Teams!$B:$B,MATCH(F636,Teams!$A:$A,0))</f>
        <v>Mumbai Indians</v>
      </c>
      <c r="R636" t="str">
        <f>INDEX(Teams!$B:$B,MATCH(G636,Teams!$A:$A,0))</f>
        <v>Mumbai Indians</v>
      </c>
      <c r="S636" t="str">
        <f>IF(K636="","No result",INDEX(Teams!$B:$B,MATCH(K636,Teams!$A:$A,0)))</f>
        <v>Mumbai Indians</v>
      </c>
      <c r="T636" t="str">
        <f>INDEX(Venues!$B:$B,MATCH(O636,Venues!$A:$A,0))</f>
        <v>M Chinnaswamy Stadium</v>
      </c>
      <c r="U636" t="str">
        <f>INDEX(Venues!$C:$C,MATCH(O636,Venues!$A:$A,0))</f>
        <v>Bangalore</v>
      </c>
      <c r="V636" t="str">
        <f>IF(L636&gt;0,L636&amp;" runs",IF(M636&gt;0,M636&amp;" wickets","-"))</f>
        <v>6 wickets</v>
      </c>
      <c r="W636">
        <f>IF(G636=K636,1,0)</f>
        <v>1</v>
      </c>
      <c r="X636">
        <f>IF(L636&gt;0,L636,"")</f>
        <v/>
      </c>
      <c r="Y636">
        <f>IF(X636="","",IF(X636&gt;Stats!$B$15,"Outlier",""))</f>
        <v/>
      </c>
      <c r="Z636" t="str">
        <f>P636&amp;" vs "&amp;Q636</f>
        <v>Kolkata Knight Riders vs Mumbai Indians</v>
      </c>
    </row>
    <row r="637" spans="1:26" x14ac:dyDescent="0.25">
      <c r="A637">
        <v>59</v>
      </c>
      <c r="B637">
        <v>2017</v>
      </c>
      <c r="C637" s="5">
        <v>42876</v>
      </c>
      <c r="D637" t="s">
        <v>216</v>
      </c>
      <c r="E637" t="s">
        <v>35</v>
      </c>
      <c r="F637" t="s">
        <v>44</v>
      </c>
      <c r="G637" t="s">
        <v>35</v>
      </c>
      <c r="H637" t="s">
        <v>176</v>
      </c>
      <c r="I637" t="s">
        <v>174</v>
      </c>
      <c r="J637">
        <v>0</v>
      </c>
      <c r="K637" t="s">
        <v>35</v>
      </c>
      <c r="L637">
        <v>1</v>
      </c>
      <c r="M637">
        <v>0</v>
      </c>
      <c r="N637" t="s">
        <v>364</v>
      </c>
      <c r="O637" t="s">
        <v>111</v>
      </c>
      <c r="P637" t="str">
        <f>INDEX(Teams!$B:$B,MATCH(E637,Teams!$A:$A,0))</f>
        <v>Mumbai Indians</v>
      </c>
      <c r="Q637" t="str">
        <f>INDEX(Teams!$B:$B,MATCH(F637,Teams!$A:$A,0))</f>
        <v>Rising Pune Supergiant</v>
      </c>
      <c r="R637" t="str">
        <f>INDEX(Teams!$B:$B,MATCH(G637,Teams!$A:$A,0))</f>
        <v>Mumbai Indians</v>
      </c>
      <c r="S637" t="str">
        <f>IF(K637="","No result",INDEX(Teams!$B:$B,MATCH(K637,Teams!$A:$A,0)))</f>
        <v>Mumbai Indians</v>
      </c>
      <c r="T637" t="str">
        <f>INDEX(Venues!$B:$B,MATCH(O637,Venues!$A:$A,0))</f>
        <v>Rajiv Gandhi International Stadium</v>
      </c>
      <c r="U637" t="str">
        <f>INDEX(Venues!$C:$C,MATCH(O637,Venues!$A:$A,0))</f>
        <v>Hyderabad</v>
      </c>
      <c r="V637" t="str">
        <f>IF(L637&gt;0,L637&amp;" runs",IF(M637&gt;0,M637&amp;" wickets","-"))</f>
        <v>1 runs</v>
      </c>
      <c r="W637">
        <f>IF(G637=K637,1,0)</f>
        <v>1</v>
      </c>
      <c r="X637">
        <f>IF(L637&gt;0,L637,"")</f>
        <v>1</v>
      </c>
      <c r="Y637">
        <f>IF(X637="","",IF(X637&gt;Stats!$B$15,"Outlier",""))</f>
        <v/>
      </c>
      <c r="Z637" t="str">
        <f>P637&amp;" vs "&amp;Q637</f>
        <v>Mumbai Indians vs Rising Pune Supergiant</v>
      </c>
    </row>
    <row r="638" spans="1:26" x14ac:dyDescent="0.25">
      <c r="A638">
        <v>7894</v>
      </c>
      <c r="B638">
        <v>2018</v>
      </c>
      <c r="C638" s="5">
        <v>43197</v>
      </c>
      <c r="D638" t="s">
        <v>172</v>
      </c>
      <c r="E638" t="s">
        <v>35</v>
      </c>
      <c r="F638" t="s">
        <v>12</v>
      </c>
      <c r="G638" t="s">
        <v>12</v>
      </c>
      <c r="H638" t="s">
        <v>173</v>
      </c>
      <c r="I638" t="s">
        <v>174</v>
      </c>
      <c r="J638">
        <v>0</v>
      </c>
      <c r="K638" t="s">
        <v>12</v>
      </c>
      <c r="L638">
        <v>0</v>
      </c>
      <c r="M638">
        <v>1</v>
      </c>
      <c r="N638" t="s">
        <v>206</v>
      </c>
      <c r="O638" t="s">
        <v>138</v>
      </c>
      <c r="P638" t="str">
        <f>INDEX(Teams!$B:$B,MATCH(E638,Teams!$A:$A,0))</f>
        <v>Mumbai Indians</v>
      </c>
      <c r="Q638" t="str">
        <f>INDEX(Teams!$B:$B,MATCH(F638,Teams!$A:$A,0))</f>
        <v>Chennai Super Kings</v>
      </c>
      <c r="R638" t="str">
        <f>INDEX(Teams!$B:$B,MATCH(G638,Teams!$A:$A,0))</f>
        <v>Chennai Super Kings</v>
      </c>
      <c r="S638" t="str">
        <f>IF(K638="","No result",INDEX(Teams!$B:$B,MATCH(K638,Teams!$A:$A,0)))</f>
        <v>Chennai Super Kings</v>
      </c>
      <c r="T638" t="str">
        <f>INDEX(Venues!$B:$B,MATCH(O638,Venues!$A:$A,0))</f>
        <v>Wankhede Stadium</v>
      </c>
      <c r="U638" t="str">
        <f>INDEX(Venues!$C:$C,MATCH(O638,Venues!$A:$A,0))</f>
        <v>Mumbai</v>
      </c>
      <c r="V638" t="str">
        <f>IF(L638&gt;0,L638&amp;" runs",IF(M638&gt;0,M638&amp;" wickets","-"))</f>
        <v>1 wickets</v>
      </c>
      <c r="W638">
        <f>IF(G638=K638,1,0)</f>
        <v>1</v>
      </c>
      <c r="X638">
        <f>IF(L638&gt;0,L638,"")</f>
        <v/>
      </c>
      <c r="Y638">
        <f>IF(X638="","",IF(X638&gt;Stats!$B$15,"Outlier",""))</f>
        <v/>
      </c>
      <c r="Z638" t="str">
        <f>P638&amp;" vs "&amp;Q638</f>
        <v>Mumbai Indians vs Chennai Super Kings</v>
      </c>
    </row>
    <row r="639" spans="1:26" x14ac:dyDescent="0.25">
      <c r="A639">
        <v>7895</v>
      </c>
      <c r="B639">
        <v>2018</v>
      </c>
      <c r="C639" s="5">
        <v>43198</v>
      </c>
      <c r="D639" t="s">
        <v>172</v>
      </c>
      <c r="E639" t="s">
        <v>20</v>
      </c>
      <c r="F639" t="s">
        <v>26</v>
      </c>
      <c r="G639" t="s">
        <v>26</v>
      </c>
      <c r="H639" t="s">
        <v>173</v>
      </c>
      <c r="I639" t="s">
        <v>174</v>
      </c>
      <c r="J639">
        <v>0</v>
      </c>
      <c r="K639" t="s">
        <v>26</v>
      </c>
      <c r="L639">
        <v>0</v>
      </c>
      <c r="M639">
        <v>6</v>
      </c>
      <c r="N639" t="s">
        <v>381</v>
      </c>
      <c r="O639" t="s">
        <v>109</v>
      </c>
      <c r="P639" t="str">
        <f>INDEX(Teams!$B:$B,MATCH(E639,Teams!$A:$A,0))</f>
        <v>Delhi Capitals</v>
      </c>
      <c r="Q639" t="str">
        <f>INDEX(Teams!$B:$B,MATCH(F639,Teams!$A:$A,0))</f>
        <v>Kings XI Punjab</v>
      </c>
      <c r="R639" t="str">
        <f>INDEX(Teams!$B:$B,MATCH(G639,Teams!$A:$A,0))</f>
        <v>Kings XI Punjab</v>
      </c>
      <c r="S639" t="str">
        <f>IF(K639="","No result",INDEX(Teams!$B:$B,MATCH(K639,Teams!$A:$A,0)))</f>
        <v>Kings XI Punjab</v>
      </c>
      <c r="T639" t="str">
        <f>INDEX(Venues!$B:$B,MATCH(O639,Venues!$A:$A,0))</f>
        <v>Punjab Cricket Association IS Bindra Stadium</v>
      </c>
      <c r="U639" t="str">
        <f>INDEX(Venues!$C:$C,MATCH(O639,Venues!$A:$A,0))</f>
        <v>Chandigarh</v>
      </c>
      <c r="V639" t="str">
        <f>IF(L639&gt;0,L639&amp;" runs",IF(M639&gt;0,M639&amp;" wickets","-"))</f>
        <v>6 wickets</v>
      </c>
      <c r="W639">
        <f>IF(G639=K639,1,0)</f>
        <v>1</v>
      </c>
      <c r="X639">
        <f>IF(L639&gt;0,L639,"")</f>
        <v/>
      </c>
      <c r="Y639">
        <f>IF(X639="","",IF(X639&gt;Stats!$B$15,"Outlier",""))</f>
        <v/>
      </c>
      <c r="Z639" t="str">
        <f>P639&amp;" vs "&amp;Q639</f>
        <v>Delhi Capitals vs Kings XI Punjab</v>
      </c>
    </row>
    <row r="640" spans="1:26" x14ac:dyDescent="0.25">
      <c r="A640">
        <v>7896</v>
      </c>
      <c r="B640">
        <v>2018</v>
      </c>
      <c r="C640" s="5">
        <v>43198</v>
      </c>
      <c r="D640" t="s">
        <v>172</v>
      </c>
      <c r="E640" t="s">
        <v>46</v>
      </c>
      <c r="F640" t="s">
        <v>32</v>
      </c>
      <c r="G640" t="s">
        <v>32</v>
      </c>
      <c r="H640" t="s">
        <v>173</v>
      </c>
      <c r="I640" t="s">
        <v>174</v>
      </c>
      <c r="J640">
        <v>0</v>
      </c>
      <c r="K640" t="s">
        <v>32</v>
      </c>
      <c r="L640">
        <v>0</v>
      </c>
      <c r="M640">
        <v>4</v>
      </c>
      <c r="N640" t="s">
        <v>306</v>
      </c>
      <c r="O640" t="s">
        <v>73</v>
      </c>
      <c r="P640" t="str">
        <f>INDEX(Teams!$B:$B,MATCH(E640,Teams!$A:$A,0))</f>
        <v>Royal Challengers Bangalore</v>
      </c>
      <c r="Q640" t="str">
        <f>INDEX(Teams!$B:$B,MATCH(F640,Teams!$A:$A,0))</f>
        <v>Kolkata Knight Riders</v>
      </c>
      <c r="R640" t="str">
        <f>INDEX(Teams!$B:$B,MATCH(G640,Teams!$A:$A,0))</f>
        <v>Kolkata Knight Riders</v>
      </c>
      <c r="S640" t="str">
        <f>IF(K640="","No result",INDEX(Teams!$B:$B,MATCH(K640,Teams!$A:$A,0)))</f>
        <v>Kolkata Knight Riders</v>
      </c>
      <c r="T640" t="str">
        <f>INDEX(Venues!$B:$B,MATCH(O640,Venues!$A:$A,0))</f>
        <v>Eden Gardens</v>
      </c>
      <c r="U640" t="str">
        <f>INDEX(Venues!$C:$C,MATCH(O640,Venues!$A:$A,0))</f>
        <v>Kolkata</v>
      </c>
      <c r="V640" t="str">
        <f>IF(L640&gt;0,L640&amp;" runs",IF(M640&gt;0,M640&amp;" wickets","-"))</f>
        <v>4 wickets</v>
      </c>
      <c r="W640">
        <f>IF(G640=K640,1,0)</f>
        <v>1</v>
      </c>
      <c r="X640">
        <f>IF(L640&gt;0,L640,"")</f>
        <v/>
      </c>
      <c r="Y640">
        <f>IF(X640="","",IF(X640&gt;Stats!$B$15,"Outlier",""))</f>
        <v/>
      </c>
      <c r="Z640" t="str">
        <f>P640&amp;" vs "&amp;Q640</f>
        <v>Royal Challengers Bangalore vs Kolkata Knight Riders</v>
      </c>
    </row>
    <row r="641" spans="1:26" x14ac:dyDescent="0.25">
      <c r="A641">
        <v>7897</v>
      </c>
      <c r="B641">
        <v>2018</v>
      </c>
      <c r="C641" s="5">
        <v>43199</v>
      </c>
      <c r="D641" t="s">
        <v>172</v>
      </c>
      <c r="E641" t="s">
        <v>41</v>
      </c>
      <c r="F641" t="s">
        <v>49</v>
      </c>
      <c r="G641" t="s">
        <v>49</v>
      </c>
      <c r="H641" t="s">
        <v>173</v>
      </c>
      <c r="I641" t="s">
        <v>174</v>
      </c>
      <c r="J641">
        <v>0</v>
      </c>
      <c r="K641" t="s">
        <v>49</v>
      </c>
      <c r="L641">
        <v>0</v>
      </c>
      <c r="M641">
        <v>9</v>
      </c>
      <c r="N641" t="s">
        <v>292</v>
      </c>
      <c r="O641" t="s">
        <v>111</v>
      </c>
      <c r="P641" t="str">
        <f>INDEX(Teams!$B:$B,MATCH(E641,Teams!$A:$A,0))</f>
        <v>Rajasthan Royals</v>
      </c>
      <c r="Q641" t="str">
        <f>INDEX(Teams!$B:$B,MATCH(F641,Teams!$A:$A,0))</f>
        <v>Sunrisers Hyderabad</v>
      </c>
      <c r="R641" t="str">
        <f>INDEX(Teams!$B:$B,MATCH(G641,Teams!$A:$A,0))</f>
        <v>Sunrisers Hyderabad</v>
      </c>
      <c r="S641" t="str">
        <f>IF(K641="","No result",INDEX(Teams!$B:$B,MATCH(K641,Teams!$A:$A,0)))</f>
        <v>Sunrisers Hyderabad</v>
      </c>
      <c r="T641" t="str">
        <f>INDEX(Venues!$B:$B,MATCH(O641,Venues!$A:$A,0))</f>
        <v>Rajiv Gandhi International Stadium</v>
      </c>
      <c r="U641" t="str">
        <f>INDEX(Venues!$C:$C,MATCH(O641,Venues!$A:$A,0))</f>
        <v>Hyderabad</v>
      </c>
      <c r="V641" t="str">
        <f>IF(L641&gt;0,L641&amp;" runs",IF(M641&gt;0,M641&amp;" wickets","-"))</f>
        <v>9 wickets</v>
      </c>
      <c r="W641">
        <f>IF(G641=K641,1,0)</f>
        <v>1</v>
      </c>
      <c r="X641">
        <f>IF(L641&gt;0,L641,"")</f>
        <v/>
      </c>
      <c r="Y641">
        <f>IF(X641="","",IF(X641&gt;Stats!$B$15,"Outlier",""))</f>
        <v/>
      </c>
      <c r="Z641" t="str">
        <f>P641&amp;" vs "&amp;Q641</f>
        <v>Rajasthan Royals vs Sunrisers Hyderabad</v>
      </c>
    </row>
    <row r="642" spans="1:26" x14ac:dyDescent="0.25">
      <c r="A642">
        <v>7898</v>
      </c>
      <c r="B642">
        <v>2018</v>
      </c>
      <c r="C642" s="5">
        <v>43200</v>
      </c>
      <c r="D642" t="s">
        <v>172</v>
      </c>
      <c r="E642" t="s">
        <v>32</v>
      </c>
      <c r="F642" t="s">
        <v>12</v>
      </c>
      <c r="G642" t="s">
        <v>12</v>
      </c>
      <c r="H642" t="s">
        <v>173</v>
      </c>
      <c r="I642" t="s">
        <v>174</v>
      </c>
      <c r="J642">
        <v>0</v>
      </c>
      <c r="K642" t="s">
        <v>12</v>
      </c>
      <c r="L642">
        <v>0</v>
      </c>
      <c r="M642">
        <v>5</v>
      </c>
      <c r="N642" t="s">
        <v>382</v>
      </c>
      <c r="O642" t="s">
        <v>94</v>
      </c>
      <c r="P642" t="str">
        <f>INDEX(Teams!$B:$B,MATCH(E642,Teams!$A:$A,0))</f>
        <v>Kolkata Knight Riders</v>
      </c>
      <c r="Q642" t="str">
        <f>INDEX(Teams!$B:$B,MATCH(F642,Teams!$A:$A,0))</f>
        <v>Chennai Super Kings</v>
      </c>
      <c r="R642" t="str">
        <f>INDEX(Teams!$B:$B,MATCH(G642,Teams!$A:$A,0))</f>
        <v>Chennai Super Kings</v>
      </c>
      <c r="S642" t="str">
        <f>IF(K642="","No result",INDEX(Teams!$B:$B,MATCH(K642,Teams!$A:$A,0)))</f>
        <v>Chennai Super Kings</v>
      </c>
      <c r="T642" t="str">
        <f>INDEX(Venues!$B:$B,MATCH(O642,Venues!$A:$A,0))</f>
        <v>MA Chidambaram Stadium</v>
      </c>
      <c r="U642" t="str">
        <f>INDEX(Venues!$C:$C,MATCH(O642,Venues!$A:$A,0))</f>
        <v>Chennai</v>
      </c>
      <c r="V642" t="str">
        <f>IF(L642&gt;0,L642&amp;" runs",IF(M642&gt;0,M642&amp;" wickets","-"))</f>
        <v>5 wickets</v>
      </c>
      <c r="W642">
        <f>IF(G642=K642,1,0)</f>
        <v>1</v>
      </c>
      <c r="X642">
        <f>IF(L642&gt;0,L642,"")</f>
        <v/>
      </c>
      <c r="Y642">
        <f>IF(X642="","",IF(X642&gt;Stats!$B$15,"Outlier",""))</f>
        <v/>
      </c>
      <c r="Z642" t="str">
        <f>P642&amp;" vs "&amp;Q642</f>
        <v>Kolkata Knight Riders vs Chennai Super Kings</v>
      </c>
    </row>
    <row r="643" spans="1:26" x14ac:dyDescent="0.25">
      <c r="A643">
        <v>7899</v>
      </c>
      <c r="B643">
        <v>2018</v>
      </c>
      <c r="C643" s="5">
        <v>43201</v>
      </c>
      <c r="D643" t="s">
        <v>172</v>
      </c>
      <c r="E643" t="s">
        <v>41</v>
      </c>
      <c r="F643" t="s">
        <v>20</v>
      </c>
      <c r="G643" t="s">
        <v>20</v>
      </c>
      <c r="H643" t="s">
        <v>173</v>
      </c>
      <c r="I643" t="s">
        <v>174</v>
      </c>
      <c r="J643">
        <v>1</v>
      </c>
      <c r="K643" t="s">
        <v>41</v>
      </c>
      <c r="L643">
        <v>10</v>
      </c>
      <c r="M643">
        <v>0</v>
      </c>
      <c r="N643" t="s">
        <v>323</v>
      </c>
      <c r="O643" t="s">
        <v>118</v>
      </c>
      <c r="P643" t="str">
        <f>INDEX(Teams!$B:$B,MATCH(E643,Teams!$A:$A,0))</f>
        <v>Rajasthan Royals</v>
      </c>
      <c r="Q643" t="str">
        <f>INDEX(Teams!$B:$B,MATCH(F643,Teams!$A:$A,0))</f>
        <v>Delhi Capitals</v>
      </c>
      <c r="R643" t="str">
        <f>INDEX(Teams!$B:$B,MATCH(G643,Teams!$A:$A,0))</f>
        <v>Delhi Capitals</v>
      </c>
      <c r="S643" t="str">
        <f>IF(K643="","No result",INDEX(Teams!$B:$B,MATCH(K643,Teams!$A:$A,0)))</f>
        <v>Rajasthan Royals</v>
      </c>
      <c r="T643" t="str">
        <f>INDEX(Venues!$B:$B,MATCH(O643,Venues!$A:$A,0))</f>
        <v>Sawai Mansingh Stadium</v>
      </c>
      <c r="U643" t="str">
        <f>INDEX(Venues!$C:$C,MATCH(O643,Venues!$A:$A,0))</f>
        <v>Jaipur</v>
      </c>
      <c r="V643" t="str">
        <f>IF(L643&gt;0,L643&amp;" runs",IF(M643&gt;0,M643&amp;" wickets","-"))</f>
        <v>10 runs</v>
      </c>
      <c r="W643">
        <f>IF(G643=K643,1,0)</f>
        <v>0</v>
      </c>
      <c r="X643">
        <f>IF(L643&gt;0,L643,"")</f>
        <v>10</v>
      </c>
      <c r="Y643">
        <f>IF(X643="","",IF(X643&gt;Stats!$B$15,"Outlier",""))</f>
        <v/>
      </c>
      <c r="Z643" t="str">
        <f>P643&amp;" vs "&amp;Q643</f>
        <v>Rajasthan Royals vs Delhi Capitals</v>
      </c>
    </row>
    <row r="644" spans="1:26" x14ac:dyDescent="0.25">
      <c r="A644">
        <v>7900</v>
      </c>
      <c r="B644">
        <v>2018</v>
      </c>
      <c r="C644" s="5">
        <v>43202</v>
      </c>
      <c r="D644" t="s">
        <v>172</v>
      </c>
      <c r="E644" t="s">
        <v>35</v>
      </c>
      <c r="F644" t="s">
        <v>49</v>
      </c>
      <c r="G644" t="s">
        <v>49</v>
      </c>
      <c r="H644" t="s">
        <v>173</v>
      </c>
      <c r="I644" t="s">
        <v>174</v>
      </c>
      <c r="J644">
        <v>0</v>
      </c>
      <c r="K644" t="s">
        <v>49</v>
      </c>
      <c r="L644">
        <v>0</v>
      </c>
      <c r="M644">
        <v>1</v>
      </c>
      <c r="N644" t="s">
        <v>367</v>
      </c>
      <c r="O644" t="s">
        <v>111</v>
      </c>
      <c r="P644" t="str">
        <f>INDEX(Teams!$B:$B,MATCH(E644,Teams!$A:$A,0))</f>
        <v>Mumbai Indians</v>
      </c>
      <c r="Q644" t="str">
        <f>INDEX(Teams!$B:$B,MATCH(F644,Teams!$A:$A,0))</f>
        <v>Sunrisers Hyderabad</v>
      </c>
      <c r="R644" t="str">
        <f>INDEX(Teams!$B:$B,MATCH(G644,Teams!$A:$A,0))</f>
        <v>Sunrisers Hyderabad</v>
      </c>
      <c r="S644" t="str">
        <f>IF(K644="","No result",INDEX(Teams!$B:$B,MATCH(K644,Teams!$A:$A,0)))</f>
        <v>Sunrisers Hyderabad</v>
      </c>
      <c r="T644" t="str">
        <f>INDEX(Venues!$B:$B,MATCH(O644,Venues!$A:$A,0))</f>
        <v>Rajiv Gandhi International Stadium</v>
      </c>
      <c r="U644" t="str">
        <f>INDEX(Venues!$C:$C,MATCH(O644,Venues!$A:$A,0))</f>
        <v>Hyderabad</v>
      </c>
      <c r="V644" t="str">
        <f>IF(L644&gt;0,L644&amp;" runs",IF(M644&gt;0,M644&amp;" wickets","-"))</f>
        <v>1 wickets</v>
      </c>
      <c r="W644">
        <f>IF(G644=K644,1,0)</f>
        <v>1</v>
      </c>
      <c r="X644">
        <f>IF(L644&gt;0,L644,"")</f>
        <v/>
      </c>
      <c r="Y644">
        <f>IF(X644="","",IF(X644&gt;Stats!$B$15,"Outlier",""))</f>
        <v/>
      </c>
      <c r="Z644" t="str">
        <f>P644&amp;" vs "&amp;Q644</f>
        <v>Mumbai Indians vs Sunrisers Hyderabad</v>
      </c>
    </row>
    <row r="645" spans="1:26" x14ac:dyDescent="0.25">
      <c r="A645">
        <v>7901</v>
      </c>
      <c r="B645">
        <v>2018</v>
      </c>
      <c r="C645" s="5">
        <v>43203</v>
      </c>
      <c r="D645" t="s">
        <v>172</v>
      </c>
      <c r="E645" t="s">
        <v>26</v>
      </c>
      <c r="F645" t="s">
        <v>46</v>
      </c>
      <c r="G645" t="s">
        <v>46</v>
      </c>
      <c r="H645" t="s">
        <v>173</v>
      </c>
      <c r="I645" t="s">
        <v>174</v>
      </c>
      <c r="J645">
        <v>0</v>
      </c>
      <c r="K645" t="s">
        <v>46</v>
      </c>
      <c r="L645">
        <v>0</v>
      </c>
      <c r="M645">
        <v>4</v>
      </c>
      <c r="N645" t="s">
        <v>315</v>
      </c>
      <c r="O645" t="s">
        <v>92</v>
      </c>
      <c r="P645" t="str">
        <f>INDEX(Teams!$B:$B,MATCH(E645,Teams!$A:$A,0))</f>
        <v>Kings XI Punjab</v>
      </c>
      <c r="Q645" t="str">
        <f>INDEX(Teams!$B:$B,MATCH(F645,Teams!$A:$A,0))</f>
        <v>Royal Challengers Bangalore</v>
      </c>
      <c r="R645" t="str">
        <f>INDEX(Teams!$B:$B,MATCH(G645,Teams!$A:$A,0))</f>
        <v>Royal Challengers Bangalore</v>
      </c>
      <c r="S645" t="str">
        <f>IF(K645="","No result",INDEX(Teams!$B:$B,MATCH(K645,Teams!$A:$A,0)))</f>
        <v>Royal Challengers Bangalore</v>
      </c>
      <c r="T645" t="str">
        <f>INDEX(Venues!$B:$B,MATCH(O645,Venues!$A:$A,0))</f>
        <v>M Chinnaswamy Stadium</v>
      </c>
      <c r="U645" t="str">
        <f>INDEX(Venues!$C:$C,MATCH(O645,Venues!$A:$A,0))</f>
        <v>Bangalore</v>
      </c>
      <c r="V645" t="str">
        <f>IF(L645&gt;0,L645&amp;" runs",IF(M645&gt;0,M645&amp;" wickets","-"))</f>
        <v>4 wickets</v>
      </c>
      <c r="W645">
        <f>IF(G645=K645,1,0)</f>
        <v>1</v>
      </c>
      <c r="X645">
        <f>IF(L645&gt;0,L645,"")</f>
        <v/>
      </c>
      <c r="Y645">
        <f>IF(X645="","",IF(X645&gt;Stats!$B$15,"Outlier",""))</f>
        <v/>
      </c>
      <c r="Z645" t="str">
        <f>P645&amp;" vs "&amp;Q645</f>
        <v>Kings XI Punjab vs Royal Challengers Bangalore</v>
      </c>
    </row>
    <row r="646" spans="1:26" x14ac:dyDescent="0.25">
      <c r="A646">
        <v>7902</v>
      </c>
      <c r="B646">
        <v>2018</v>
      </c>
      <c r="C646" s="5">
        <v>43204</v>
      </c>
      <c r="D646" t="s">
        <v>172</v>
      </c>
      <c r="E646" t="s">
        <v>35</v>
      </c>
      <c r="F646" t="s">
        <v>20</v>
      </c>
      <c r="G646" t="s">
        <v>20</v>
      </c>
      <c r="H646" t="s">
        <v>173</v>
      </c>
      <c r="I646" t="s">
        <v>174</v>
      </c>
      <c r="J646">
        <v>0</v>
      </c>
      <c r="K646" t="s">
        <v>20</v>
      </c>
      <c r="L646">
        <v>0</v>
      </c>
      <c r="M646">
        <v>7</v>
      </c>
      <c r="N646" t="s">
        <v>383</v>
      </c>
      <c r="O646" t="s">
        <v>138</v>
      </c>
      <c r="P646" t="str">
        <f>INDEX(Teams!$B:$B,MATCH(E646,Teams!$A:$A,0))</f>
        <v>Mumbai Indians</v>
      </c>
      <c r="Q646" t="str">
        <f>INDEX(Teams!$B:$B,MATCH(F646,Teams!$A:$A,0))</f>
        <v>Delhi Capitals</v>
      </c>
      <c r="R646" t="str">
        <f>INDEX(Teams!$B:$B,MATCH(G646,Teams!$A:$A,0))</f>
        <v>Delhi Capitals</v>
      </c>
      <c r="S646" t="str">
        <f>IF(K646="","No result",INDEX(Teams!$B:$B,MATCH(K646,Teams!$A:$A,0)))</f>
        <v>Delhi Capitals</v>
      </c>
      <c r="T646" t="str">
        <f>INDEX(Venues!$B:$B,MATCH(O646,Venues!$A:$A,0))</f>
        <v>Wankhede Stadium</v>
      </c>
      <c r="U646" t="str">
        <f>INDEX(Venues!$C:$C,MATCH(O646,Venues!$A:$A,0))</f>
        <v>Mumbai</v>
      </c>
      <c r="V646" t="str">
        <f>IF(L646&gt;0,L646&amp;" runs",IF(M646&gt;0,M646&amp;" wickets","-"))</f>
        <v>7 wickets</v>
      </c>
      <c r="W646">
        <f>IF(G646=K646,1,0)</f>
        <v>1</v>
      </c>
      <c r="X646">
        <f>IF(L646&gt;0,L646,"")</f>
        <v/>
      </c>
      <c r="Y646">
        <f>IF(X646="","",IF(X646&gt;Stats!$B$15,"Outlier",""))</f>
        <v/>
      </c>
      <c r="Z646" t="str">
        <f>P646&amp;" vs "&amp;Q646</f>
        <v>Mumbai Indians vs Delhi Capitals</v>
      </c>
    </row>
    <row r="647" spans="1:26" x14ac:dyDescent="0.25">
      <c r="A647">
        <v>7903</v>
      </c>
      <c r="B647">
        <v>2018</v>
      </c>
      <c r="C647" s="5">
        <v>43204</v>
      </c>
      <c r="D647" t="s">
        <v>172</v>
      </c>
      <c r="E647" t="s">
        <v>32</v>
      </c>
      <c r="F647" t="s">
        <v>49</v>
      </c>
      <c r="G647" t="s">
        <v>49</v>
      </c>
      <c r="H647" t="s">
        <v>173</v>
      </c>
      <c r="I647" t="s">
        <v>174</v>
      </c>
      <c r="J647">
        <v>0</v>
      </c>
      <c r="K647" t="s">
        <v>49</v>
      </c>
      <c r="L647">
        <v>0</v>
      </c>
      <c r="M647">
        <v>5</v>
      </c>
      <c r="N647" t="s">
        <v>384</v>
      </c>
      <c r="O647" t="s">
        <v>73</v>
      </c>
      <c r="P647" t="str">
        <f>INDEX(Teams!$B:$B,MATCH(E647,Teams!$A:$A,0))</f>
        <v>Kolkata Knight Riders</v>
      </c>
      <c r="Q647" t="str">
        <f>INDEX(Teams!$B:$B,MATCH(F647,Teams!$A:$A,0))</f>
        <v>Sunrisers Hyderabad</v>
      </c>
      <c r="R647" t="str">
        <f>INDEX(Teams!$B:$B,MATCH(G647,Teams!$A:$A,0))</f>
        <v>Sunrisers Hyderabad</v>
      </c>
      <c r="S647" t="str">
        <f>IF(K647="","No result",INDEX(Teams!$B:$B,MATCH(K647,Teams!$A:$A,0)))</f>
        <v>Sunrisers Hyderabad</v>
      </c>
      <c r="T647" t="str">
        <f>INDEX(Venues!$B:$B,MATCH(O647,Venues!$A:$A,0))</f>
        <v>Eden Gardens</v>
      </c>
      <c r="U647" t="str">
        <f>INDEX(Venues!$C:$C,MATCH(O647,Venues!$A:$A,0))</f>
        <v>Kolkata</v>
      </c>
      <c r="V647" t="str">
        <f>IF(L647&gt;0,L647&amp;" runs",IF(M647&gt;0,M647&amp;" wickets","-"))</f>
        <v>5 wickets</v>
      </c>
      <c r="W647">
        <f>IF(G647=K647,1,0)</f>
        <v>1</v>
      </c>
      <c r="X647">
        <f>IF(L647&gt;0,L647,"")</f>
        <v/>
      </c>
      <c r="Y647">
        <f>IF(X647="","",IF(X647&gt;Stats!$B$15,"Outlier",""))</f>
        <v/>
      </c>
      <c r="Z647" t="str">
        <f>P647&amp;" vs "&amp;Q647</f>
        <v>Kolkata Knight Riders vs Sunrisers Hyderabad</v>
      </c>
    </row>
    <row r="648" spans="1:26" x14ac:dyDescent="0.25">
      <c r="A648">
        <v>7904</v>
      </c>
      <c r="B648">
        <v>2018</v>
      </c>
      <c r="C648" s="5">
        <v>43205</v>
      </c>
      <c r="D648" t="s">
        <v>172</v>
      </c>
      <c r="E648" t="s">
        <v>41</v>
      </c>
      <c r="F648" t="s">
        <v>46</v>
      </c>
      <c r="G648" t="s">
        <v>46</v>
      </c>
      <c r="H648" t="s">
        <v>173</v>
      </c>
      <c r="I648" t="s">
        <v>174</v>
      </c>
      <c r="J648">
        <v>0</v>
      </c>
      <c r="K648" t="s">
        <v>41</v>
      </c>
      <c r="L648">
        <v>19</v>
      </c>
      <c r="M648">
        <v>0</v>
      </c>
      <c r="N648" t="s">
        <v>323</v>
      </c>
      <c r="O648" t="s">
        <v>92</v>
      </c>
      <c r="P648" t="str">
        <f>INDEX(Teams!$B:$B,MATCH(E648,Teams!$A:$A,0))</f>
        <v>Rajasthan Royals</v>
      </c>
      <c r="Q648" t="str">
        <f>INDEX(Teams!$B:$B,MATCH(F648,Teams!$A:$A,0))</f>
        <v>Royal Challengers Bangalore</v>
      </c>
      <c r="R648" t="str">
        <f>INDEX(Teams!$B:$B,MATCH(G648,Teams!$A:$A,0))</f>
        <v>Royal Challengers Bangalore</v>
      </c>
      <c r="S648" t="str">
        <f>IF(K648="","No result",INDEX(Teams!$B:$B,MATCH(K648,Teams!$A:$A,0)))</f>
        <v>Rajasthan Royals</v>
      </c>
      <c r="T648" t="str">
        <f>INDEX(Venues!$B:$B,MATCH(O648,Venues!$A:$A,0))</f>
        <v>M Chinnaswamy Stadium</v>
      </c>
      <c r="U648" t="str">
        <f>INDEX(Venues!$C:$C,MATCH(O648,Venues!$A:$A,0))</f>
        <v>Bangalore</v>
      </c>
      <c r="V648" t="str">
        <f>IF(L648&gt;0,L648&amp;" runs",IF(M648&gt;0,M648&amp;" wickets","-"))</f>
        <v>19 runs</v>
      </c>
      <c r="W648">
        <f>IF(G648=K648,1,0)</f>
        <v>0</v>
      </c>
      <c r="X648">
        <f>IF(L648&gt;0,L648,"")</f>
        <v>19</v>
      </c>
      <c r="Y648">
        <f>IF(X648="","",IF(X648&gt;Stats!$B$15,"Outlier",""))</f>
        <v/>
      </c>
      <c r="Z648" t="str">
        <f>P648&amp;" vs "&amp;Q648</f>
        <v>Rajasthan Royals vs Royal Challengers Bangalore</v>
      </c>
    </row>
    <row r="649" spans="1:26" x14ac:dyDescent="0.25">
      <c r="A649">
        <v>7905</v>
      </c>
      <c r="B649">
        <v>2018</v>
      </c>
      <c r="C649" s="5">
        <v>43205</v>
      </c>
      <c r="D649" t="s">
        <v>172</v>
      </c>
      <c r="E649" t="s">
        <v>26</v>
      </c>
      <c r="F649" t="s">
        <v>12</v>
      </c>
      <c r="G649" t="s">
        <v>12</v>
      </c>
      <c r="H649" t="s">
        <v>173</v>
      </c>
      <c r="I649" t="s">
        <v>174</v>
      </c>
      <c r="J649">
        <v>0</v>
      </c>
      <c r="K649" t="s">
        <v>26</v>
      </c>
      <c r="L649">
        <v>4</v>
      </c>
      <c r="M649">
        <v>0</v>
      </c>
      <c r="N649" t="s">
        <v>222</v>
      </c>
      <c r="O649" t="s">
        <v>109</v>
      </c>
      <c r="P649" t="str">
        <f>INDEX(Teams!$B:$B,MATCH(E649,Teams!$A:$A,0))</f>
        <v>Kings XI Punjab</v>
      </c>
      <c r="Q649" t="str">
        <f>INDEX(Teams!$B:$B,MATCH(F649,Teams!$A:$A,0))</f>
        <v>Chennai Super Kings</v>
      </c>
      <c r="R649" t="str">
        <f>INDEX(Teams!$B:$B,MATCH(G649,Teams!$A:$A,0))</f>
        <v>Chennai Super Kings</v>
      </c>
      <c r="S649" t="str">
        <f>IF(K649="","No result",INDEX(Teams!$B:$B,MATCH(K649,Teams!$A:$A,0)))</f>
        <v>Kings XI Punjab</v>
      </c>
      <c r="T649" t="str">
        <f>INDEX(Venues!$B:$B,MATCH(O649,Venues!$A:$A,0))</f>
        <v>Punjab Cricket Association IS Bindra Stadium</v>
      </c>
      <c r="U649" t="str">
        <f>INDEX(Venues!$C:$C,MATCH(O649,Venues!$A:$A,0))</f>
        <v>Chandigarh</v>
      </c>
      <c r="V649" t="str">
        <f>IF(L649&gt;0,L649&amp;" runs",IF(M649&gt;0,M649&amp;" wickets","-"))</f>
        <v>4 runs</v>
      </c>
      <c r="W649">
        <f>IF(G649=K649,1,0)</f>
        <v>0</v>
      </c>
      <c r="X649">
        <f>IF(L649&gt;0,L649,"")</f>
        <v>4</v>
      </c>
      <c r="Y649">
        <f>IF(X649="","",IF(X649&gt;Stats!$B$15,"Outlier",""))</f>
        <v/>
      </c>
      <c r="Z649" t="str">
        <f>P649&amp;" vs "&amp;Q649</f>
        <v>Kings XI Punjab vs Chennai Super Kings</v>
      </c>
    </row>
    <row r="650" spans="1:26" x14ac:dyDescent="0.25">
      <c r="A650">
        <v>7906</v>
      </c>
      <c r="B650">
        <v>2018</v>
      </c>
      <c r="C650" s="5">
        <v>43206</v>
      </c>
      <c r="D650" t="s">
        <v>172</v>
      </c>
      <c r="E650" t="s">
        <v>32</v>
      </c>
      <c r="F650" t="s">
        <v>20</v>
      </c>
      <c r="G650" t="s">
        <v>20</v>
      </c>
      <c r="H650" t="s">
        <v>173</v>
      </c>
      <c r="I650" t="s">
        <v>174</v>
      </c>
      <c r="J650">
        <v>0</v>
      </c>
      <c r="K650" t="s">
        <v>32</v>
      </c>
      <c r="L650">
        <v>71</v>
      </c>
      <c r="M650">
        <v>0</v>
      </c>
      <c r="N650" t="s">
        <v>368</v>
      </c>
      <c r="O650" t="s">
        <v>73</v>
      </c>
      <c r="P650" t="str">
        <f>INDEX(Teams!$B:$B,MATCH(E650,Teams!$A:$A,0))</f>
        <v>Kolkata Knight Riders</v>
      </c>
      <c r="Q650" t="str">
        <f>INDEX(Teams!$B:$B,MATCH(F650,Teams!$A:$A,0))</f>
        <v>Delhi Capitals</v>
      </c>
      <c r="R650" t="str">
        <f>INDEX(Teams!$B:$B,MATCH(G650,Teams!$A:$A,0))</f>
        <v>Delhi Capitals</v>
      </c>
      <c r="S650" t="str">
        <f>IF(K650="","No result",INDEX(Teams!$B:$B,MATCH(K650,Teams!$A:$A,0)))</f>
        <v>Kolkata Knight Riders</v>
      </c>
      <c r="T650" t="str">
        <f>INDEX(Venues!$B:$B,MATCH(O650,Venues!$A:$A,0))</f>
        <v>Eden Gardens</v>
      </c>
      <c r="U650" t="str">
        <f>INDEX(Venues!$C:$C,MATCH(O650,Venues!$A:$A,0))</f>
        <v>Kolkata</v>
      </c>
      <c r="V650" t="str">
        <f>IF(L650&gt;0,L650&amp;" runs",IF(M650&gt;0,M650&amp;" wickets","-"))</f>
        <v>71 runs</v>
      </c>
      <c r="W650">
        <f>IF(G650=K650,1,0)</f>
        <v>0</v>
      </c>
      <c r="X650">
        <f>IF(L650&gt;0,L650,"")</f>
        <v>71</v>
      </c>
      <c r="Y650">
        <f>IF(X650="","",IF(X650&gt;Stats!$B$15,"Outlier",""))</f>
        <v/>
      </c>
      <c r="Z650" t="str">
        <f>P650&amp;" vs "&amp;Q650</f>
        <v>Kolkata Knight Riders vs Delhi Capitals</v>
      </c>
    </row>
    <row r="651" spans="1:26" x14ac:dyDescent="0.25">
      <c r="A651">
        <v>7907</v>
      </c>
      <c r="B651">
        <v>2018</v>
      </c>
      <c r="C651" s="5">
        <v>43207</v>
      </c>
      <c r="D651" t="s">
        <v>172</v>
      </c>
      <c r="E651" t="s">
        <v>35</v>
      </c>
      <c r="F651" t="s">
        <v>46</v>
      </c>
      <c r="G651" t="s">
        <v>46</v>
      </c>
      <c r="H651" t="s">
        <v>173</v>
      </c>
      <c r="I651" t="s">
        <v>174</v>
      </c>
      <c r="J651">
        <v>0</v>
      </c>
      <c r="K651" t="s">
        <v>35</v>
      </c>
      <c r="L651">
        <v>46</v>
      </c>
      <c r="M651">
        <v>0</v>
      </c>
      <c r="N651" t="s">
        <v>235</v>
      </c>
      <c r="O651" t="s">
        <v>138</v>
      </c>
      <c r="P651" t="str">
        <f>INDEX(Teams!$B:$B,MATCH(E651,Teams!$A:$A,0))</f>
        <v>Mumbai Indians</v>
      </c>
      <c r="Q651" t="str">
        <f>INDEX(Teams!$B:$B,MATCH(F651,Teams!$A:$A,0))</f>
        <v>Royal Challengers Bangalore</v>
      </c>
      <c r="R651" t="str">
        <f>INDEX(Teams!$B:$B,MATCH(G651,Teams!$A:$A,0))</f>
        <v>Royal Challengers Bangalore</v>
      </c>
      <c r="S651" t="str">
        <f>IF(K651="","No result",INDEX(Teams!$B:$B,MATCH(K651,Teams!$A:$A,0)))</f>
        <v>Mumbai Indians</v>
      </c>
      <c r="T651" t="str">
        <f>INDEX(Venues!$B:$B,MATCH(O651,Venues!$A:$A,0))</f>
        <v>Wankhede Stadium</v>
      </c>
      <c r="U651" t="str">
        <f>INDEX(Venues!$C:$C,MATCH(O651,Venues!$A:$A,0))</f>
        <v>Mumbai</v>
      </c>
      <c r="V651" t="str">
        <f>IF(L651&gt;0,L651&amp;" runs",IF(M651&gt;0,M651&amp;" wickets","-"))</f>
        <v>46 runs</v>
      </c>
      <c r="W651">
        <f>IF(G651=K651,1,0)</f>
        <v>0</v>
      </c>
      <c r="X651">
        <f>IF(L651&gt;0,L651,"")</f>
        <v>46</v>
      </c>
      <c r="Y651">
        <f>IF(X651="","",IF(X651&gt;Stats!$B$15,"Outlier",""))</f>
        <v/>
      </c>
      <c r="Z651" t="str">
        <f>P651&amp;" vs "&amp;Q651</f>
        <v>Mumbai Indians vs Royal Challengers Bangalore</v>
      </c>
    </row>
    <row r="652" spans="1:26" x14ac:dyDescent="0.25">
      <c r="A652">
        <v>7908</v>
      </c>
      <c r="B652">
        <v>2018</v>
      </c>
      <c r="C652" s="5">
        <v>43208</v>
      </c>
      <c r="D652" t="s">
        <v>172</v>
      </c>
      <c r="E652" t="s">
        <v>41</v>
      </c>
      <c r="F652" t="s">
        <v>32</v>
      </c>
      <c r="G652" t="s">
        <v>32</v>
      </c>
      <c r="H652" t="s">
        <v>173</v>
      </c>
      <c r="I652" t="s">
        <v>174</v>
      </c>
      <c r="J652">
        <v>0</v>
      </c>
      <c r="K652" t="s">
        <v>32</v>
      </c>
      <c r="L652">
        <v>0</v>
      </c>
      <c r="M652">
        <v>7</v>
      </c>
      <c r="N652" t="s">
        <v>368</v>
      </c>
      <c r="O652" t="s">
        <v>118</v>
      </c>
      <c r="P652" t="str">
        <f>INDEX(Teams!$B:$B,MATCH(E652,Teams!$A:$A,0))</f>
        <v>Rajasthan Royals</v>
      </c>
      <c r="Q652" t="str">
        <f>INDEX(Teams!$B:$B,MATCH(F652,Teams!$A:$A,0))</f>
        <v>Kolkata Knight Riders</v>
      </c>
      <c r="R652" t="str">
        <f>INDEX(Teams!$B:$B,MATCH(G652,Teams!$A:$A,0))</f>
        <v>Kolkata Knight Riders</v>
      </c>
      <c r="S652" t="str">
        <f>IF(K652="","No result",INDEX(Teams!$B:$B,MATCH(K652,Teams!$A:$A,0)))</f>
        <v>Kolkata Knight Riders</v>
      </c>
      <c r="T652" t="str">
        <f>INDEX(Venues!$B:$B,MATCH(O652,Venues!$A:$A,0))</f>
        <v>Sawai Mansingh Stadium</v>
      </c>
      <c r="U652" t="str">
        <f>INDEX(Venues!$C:$C,MATCH(O652,Venues!$A:$A,0))</f>
        <v>Jaipur</v>
      </c>
      <c r="V652" t="str">
        <f>IF(L652&gt;0,L652&amp;" runs",IF(M652&gt;0,M652&amp;" wickets","-"))</f>
        <v>7 wickets</v>
      </c>
      <c r="W652">
        <f>IF(G652=K652,1,0)</f>
        <v>1</v>
      </c>
      <c r="X652">
        <f>IF(L652&gt;0,L652,"")</f>
        <v/>
      </c>
      <c r="Y652">
        <f>IF(X652="","",IF(X652&gt;Stats!$B$15,"Outlier",""))</f>
        <v/>
      </c>
      <c r="Z652" t="str">
        <f>P652&amp;" vs "&amp;Q652</f>
        <v>Rajasthan Royals vs Kolkata Knight Riders</v>
      </c>
    </row>
    <row r="653" spans="1:26" x14ac:dyDescent="0.25">
      <c r="A653">
        <v>7909</v>
      </c>
      <c r="B653">
        <v>2018</v>
      </c>
      <c r="C653" s="5">
        <v>43209</v>
      </c>
      <c r="D653" t="s">
        <v>172</v>
      </c>
      <c r="E653" t="s">
        <v>26</v>
      </c>
      <c r="F653" t="s">
        <v>49</v>
      </c>
      <c r="G653" t="s">
        <v>26</v>
      </c>
      <c r="H653" t="s">
        <v>176</v>
      </c>
      <c r="I653" t="s">
        <v>174</v>
      </c>
      <c r="J653">
        <v>0</v>
      </c>
      <c r="K653" t="s">
        <v>26</v>
      </c>
      <c r="L653">
        <v>15</v>
      </c>
      <c r="M653">
        <v>0</v>
      </c>
      <c r="N653" t="s">
        <v>222</v>
      </c>
      <c r="O653" t="s">
        <v>109</v>
      </c>
      <c r="P653" t="str">
        <f>INDEX(Teams!$B:$B,MATCH(E653,Teams!$A:$A,0))</f>
        <v>Kings XI Punjab</v>
      </c>
      <c r="Q653" t="str">
        <f>INDEX(Teams!$B:$B,MATCH(F653,Teams!$A:$A,0))</f>
        <v>Sunrisers Hyderabad</v>
      </c>
      <c r="R653" t="str">
        <f>INDEX(Teams!$B:$B,MATCH(G653,Teams!$A:$A,0))</f>
        <v>Kings XI Punjab</v>
      </c>
      <c r="S653" t="str">
        <f>IF(K653="","No result",INDEX(Teams!$B:$B,MATCH(K653,Teams!$A:$A,0)))</f>
        <v>Kings XI Punjab</v>
      </c>
      <c r="T653" t="str">
        <f>INDEX(Venues!$B:$B,MATCH(O653,Venues!$A:$A,0))</f>
        <v>Punjab Cricket Association IS Bindra Stadium</v>
      </c>
      <c r="U653" t="str">
        <f>INDEX(Venues!$C:$C,MATCH(O653,Venues!$A:$A,0))</f>
        <v>Chandigarh</v>
      </c>
      <c r="V653" t="str">
        <f>IF(L653&gt;0,L653&amp;" runs",IF(M653&gt;0,M653&amp;" wickets","-"))</f>
        <v>15 runs</v>
      </c>
      <c r="W653">
        <f>IF(G653=K653,1,0)</f>
        <v>1</v>
      </c>
      <c r="X653">
        <f>IF(L653&gt;0,L653,"")</f>
        <v>15</v>
      </c>
      <c r="Y653">
        <f>IF(X653="","",IF(X653&gt;Stats!$B$15,"Outlier",""))</f>
        <v/>
      </c>
      <c r="Z653" t="str">
        <f>P653&amp;" vs "&amp;Q653</f>
        <v>Kings XI Punjab vs Sunrisers Hyderabad</v>
      </c>
    </row>
    <row r="654" spans="1:26" x14ac:dyDescent="0.25">
      <c r="A654">
        <v>7910</v>
      </c>
      <c r="B654">
        <v>2018</v>
      </c>
      <c r="C654" s="5">
        <v>43210</v>
      </c>
      <c r="D654" t="s">
        <v>172</v>
      </c>
      <c r="E654" t="s">
        <v>12</v>
      </c>
      <c r="F654" t="s">
        <v>41</v>
      </c>
      <c r="G654" t="s">
        <v>41</v>
      </c>
      <c r="H654" t="s">
        <v>173</v>
      </c>
      <c r="I654" t="s">
        <v>174</v>
      </c>
      <c r="J654">
        <v>0</v>
      </c>
      <c r="K654" t="s">
        <v>12</v>
      </c>
      <c r="L654">
        <v>64</v>
      </c>
      <c r="M654">
        <v>0</v>
      </c>
      <c r="N654" t="s">
        <v>181</v>
      </c>
      <c r="O654" t="s">
        <v>96</v>
      </c>
      <c r="P654" t="str">
        <f>INDEX(Teams!$B:$B,MATCH(E654,Teams!$A:$A,0))</f>
        <v>Chennai Super Kings</v>
      </c>
      <c r="Q654" t="str">
        <f>INDEX(Teams!$B:$B,MATCH(F654,Teams!$A:$A,0))</f>
        <v>Rajasthan Royals</v>
      </c>
      <c r="R654" t="str">
        <f>INDEX(Teams!$B:$B,MATCH(G654,Teams!$A:$A,0))</f>
        <v>Rajasthan Royals</v>
      </c>
      <c r="S654" t="str">
        <f>IF(K654="","No result",INDEX(Teams!$B:$B,MATCH(K654,Teams!$A:$A,0)))</f>
        <v>Chennai Super Kings</v>
      </c>
      <c r="T654" t="str">
        <f>INDEX(Venues!$B:$B,MATCH(O654,Venues!$A:$A,0))</f>
        <v>Maharashtra Cricket Association Stadium</v>
      </c>
      <c r="U654" t="str">
        <f>INDEX(Venues!$C:$C,MATCH(O654,Venues!$A:$A,0))</f>
        <v>Pune</v>
      </c>
      <c r="V654" t="str">
        <f>IF(L654&gt;0,L654&amp;" runs",IF(M654&gt;0,M654&amp;" wickets","-"))</f>
        <v>64 runs</v>
      </c>
      <c r="W654">
        <f>IF(G654=K654,1,0)</f>
        <v>0</v>
      </c>
      <c r="X654">
        <f>IF(L654&gt;0,L654,"")</f>
        <v>64</v>
      </c>
      <c r="Y654">
        <f>IF(X654="","",IF(X654&gt;Stats!$B$15,"Outlier",""))</f>
        <v/>
      </c>
      <c r="Z654" t="str">
        <f>P654&amp;" vs "&amp;Q654</f>
        <v>Chennai Super Kings vs Rajasthan Royals</v>
      </c>
    </row>
    <row r="655" spans="1:26" x14ac:dyDescent="0.25">
      <c r="A655">
        <v>7911</v>
      </c>
      <c r="B655">
        <v>2018</v>
      </c>
      <c r="C655" s="5">
        <v>43211</v>
      </c>
      <c r="D655" t="s">
        <v>172</v>
      </c>
      <c r="E655" t="s">
        <v>32</v>
      </c>
      <c r="F655" t="s">
        <v>26</v>
      </c>
      <c r="G655" t="s">
        <v>26</v>
      </c>
      <c r="H655" t="s">
        <v>173</v>
      </c>
      <c r="I655" t="s">
        <v>174</v>
      </c>
      <c r="J655">
        <v>1</v>
      </c>
      <c r="K655" t="s">
        <v>26</v>
      </c>
      <c r="L655">
        <v>0</v>
      </c>
      <c r="M655">
        <v>9</v>
      </c>
      <c r="N655" t="s">
        <v>381</v>
      </c>
      <c r="O655" t="s">
        <v>73</v>
      </c>
      <c r="P655" t="str">
        <f>INDEX(Teams!$B:$B,MATCH(E655,Teams!$A:$A,0))</f>
        <v>Kolkata Knight Riders</v>
      </c>
      <c r="Q655" t="str">
        <f>INDEX(Teams!$B:$B,MATCH(F655,Teams!$A:$A,0))</f>
        <v>Kings XI Punjab</v>
      </c>
      <c r="R655" t="str">
        <f>INDEX(Teams!$B:$B,MATCH(G655,Teams!$A:$A,0))</f>
        <v>Kings XI Punjab</v>
      </c>
      <c r="S655" t="str">
        <f>IF(K655="","No result",INDEX(Teams!$B:$B,MATCH(K655,Teams!$A:$A,0)))</f>
        <v>Kings XI Punjab</v>
      </c>
      <c r="T655" t="str">
        <f>INDEX(Venues!$B:$B,MATCH(O655,Venues!$A:$A,0))</f>
        <v>Eden Gardens</v>
      </c>
      <c r="U655" t="str">
        <f>INDEX(Venues!$C:$C,MATCH(O655,Venues!$A:$A,0))</f>
        <v>Kolkata</v>
      </c>
      <c r="V655" t="str">
        <f>IF(L655&gt;0,L655&amp;" runs",IF(M655&gt;0,M655&amp;" wickets","-"))</f>
        <v>9 wickets</v>
      </c>
      <c r="W655">
        <f>IF(G655=K655,1,0)</f>
        <v>1</v>
      </c>
      <c r="X655">
        <f>IF(L655&gt;0,L655,"")</f>
        <v/>
      </c>
      <c r="Y655">
        <f>IF(X655="","",IF(X655&gt;Stats!$B$15,"Outlier",""))</f>
        <v/>
      </c>
      <c r="Z655" t="str">
        <f>P655&amp;" vs "&amp;Q655</f>
        <v>Kolkata Knight Riders vs Kings XI Punjab</v>
      </c>
    </row>
    <row r="656" spans="1:26" x14ac:dyDescent="0.25">
      <c r="A656">
        <v>7912</v>
      </c>
      <c r="B656">
        <v>2018</v>
      </c>
      <c r="C656" s="5">
        <v>43211</v>
      </c>
      <c r="D656" t="s">
        <v>172</v>
      </c>
      <c r="E656" t="s">
        <v>20</v>
      </c>
      <c r="F656" t="s">
        <v>46</v>
      </c>
      <c r="G656" t="s">
        <v>46</v>
      </c>
      <c r="H656" t="s">
        <v>173</v>
      </c>
      <c r="I656" t="s">
        <v>174</v>
      </c>
      <c r="J656">
        <v>0</v>
      </c>
      <c r="K656" t="s">
        <v>46</v>
      </c>
      <c r="L656">
        <v>0</v>
      </c>
      <c r="M656">
        <v>6</v>
      </c>
      <c r="N656" t="s">
        <v>223</v>
      </c>
      <c r="O656" t="s">
        <v>92</v>
      </c>
      <c r="P656" t="str">
        <f>INDEX(Teams!$B:$B,MATCH(E656,Teams!$A:$A,0))</f>
        <v>Delhi Capitals</v>
      </c>
      <c r="Q656" t="str">
        <f>INDEX(Teams!$B:$B,MATCH(F656,Teams!$A:$A,0))</f>
        <v>Royal Challengers Bangalore</v>
      </c>
      <c r="R656" t="str">
        <f>INDEX(Teams!$B:$B,MATCH(G656,Teams!$A:$A,0))</f>
        <v>Royal Challengers Bangalore</v>
      </c>
      <c r="S656" t="str">
        <f>IF(K656="","No result",INDEX(Teams!$B:$B,MATCH(K656,Teams!$A:$A,0)))</f>
        <v>Royal Challengers Bangalore</v>
      </c>
      <c r="T656" t="str">
        <f>INDEX(Venues!$B:$B,MATCH(O656,Venues!$A:$A,0))</f>
        <v>M Chinnaswamy Stadium</v>
      </c>
      <c r="U656" t="str">
        <f>INDEX(Venues!$C:$C,MATCH(O656,Venues!$A:$A,0))</f>
        <v>Bangalore</v>
      </c>
      <c r="V656" t="str">
        <f>IF(L656&gt;0,L656&amp;" runs",IF(M656&gt;0,M656&amp;" wickets","-"))</f>
        <v>6 wickets</v>
      </c>
      <c r="W656">
        <f>IF(G656=K656,1,0)</f>
        <v>1</v>
      </c>
      <c r="X656">
        <f>IF(L656&gt;0,L656,"")</f>
        <v/>
      </c>
      <c r="Y656">
        <f>IF(X656="","",IF(X656&gt;Stats!$B$15,"Outlier",""))</f>
        <v/>
      </c>
      <c r="Z656" t="str">
        <f>P656&amp;" vs "&amp;Q656</f>
        <v>Delhi Capitals vs Royal Challengers Bangalore</v>
      </c>
    </row>
    <row r="657" spans="1:26" x14ac:dyDescent="0.25">
      <c r="A657">
        <v>7913</v>
      </c>
      <c r="B657">
        <v>2018</v>
      </c>
      <c r="C657" s="5">
        <v>43212</v>
      </c>
      <c r="D657" t="s">
        <v>172</v>
      </c>
      <c r="E657" t="s">
        <v>12</v>
      </c>
      <c r="F657" t="s">
        <v>49</v>
      </c>
      <c r="G657" t="s">
        <v>49</v>
      </c>
      <c r="H657" t="s">
        <v>173</v>
      </c>
      <c r="I657" t="s">
        <v>174</v>
      </c>
      <c r="J657">
        <v>0</v>
      </c>
      <c r="K657" t="s">
        <v>12</v>
      </c>
      <c r="L657">
        <v>4</v>
      </c>
      <c r="M657">
        <v>0</v>
      </c>
      <c r="N657" t="s">
        <v>261</v>
      </c>
      <c r="O657" t="s">
        <v>111</v>
      </c>
      <c r="P657" t="str">
        <f>INDEX(Teams!$B:$B,MATCH(E657,Teams!$A:$A,0))</f>
        <v>Chennai Super Kings</v>
      </c>
      <c r="Q657" t="str">
        <f>INDEX(Teams!$B:$B,MATCH(F657,Teams!$A:$A,0))</f>
        <v>Sunrisers Hyderabad</v>
      </c>
      <c r="R657" t="str">
        <f>INDEX(Teams!$B:$B,MATCH(G657,Teams!$A:$A,0))</f>
        <v>Sunrisers Hyderabad</v>
      </c>
      <c r="S657" t="str">
        <f>IF(K657="","No result",INDEX(Teams!$B:$B,MATCH(K657,Teams!$A:$A,0)))</f>
        <v>Chennai Super Kings</v>
      </c>
      <c r="T657" t="str">
        <f>INDEX(Venues!$B:$B,MATCH(O657,Venues!$A:$A,0))</f>
        <v>Rajiv Gandhi International Stadium</v>
      </c>
      <c r="U657" t="str">
        <f>INDEX(Venues!$C:$C,MATCH(O657,Venues!$A:$A,0))</f>
        <v>Hyderabad</v>
      </c>
      <c r="V657" t="str">
        <f>IF(L657&gt;0,L657&amp;" runs",IF(M657&gt;0,M657&amp;" wickets","-"))</f>
        <v>4 runs</v>
      </c>
      <c r="W657">
        <f>IF(G657=K657,1,0)</f>
        <v>0</v>
      </c>
      <c r="X657">
        <f>IF(L657&gt;0,L657,"")</f>
        <v>4</v>
      </c>
      <c r="Y657">
        <f>IF(X657="","",IF(X657&gt;Stats!$B$15,"Outlier",""))</f>
        <v/>
      </c>
      <c r="Z657" t="str">
        <f>P657&amp;" vs "&amp;Q657</f>
        <v>Chennai Super Kings vs Sunrisers Hyderabad</v>
      </c>
    </row>
    <row r="658" spans="1:26" x14ac:dyDescent="0.25">
      <c r="A658">
        <v>7914</v>
      </c>
      <c r="B658">
        <v>2018</v>
      </c>
      <c r="C658" s="5">
        <v>43212</v>
      </c>
      <c r="D658" t="s">
        <v>172</v>
      </c>
      <c r="E658" t="s">
        <v>35</v>
      </c>
      <c r="F658" t="s">
        <v>41</v>
      </c>
      <c r="G658" t="s">
        <v>35</v>
      </c>
      <c r="H658" t="s">
        <v>176</v>
      </c>
      <c r="I658" t="s">
        <v>174</v>
      </c>
      <c r="J658">
        <v>0</v>
      </c>
      <c r="K658" t="s">
        <v>41</v>
      </c>
      <c r="L658">
        <v>0</v>
      </c>
      <c r="M658">
        <v>3</v>
      </c>
      <c r="N658" t="s">
        <v>385</v>
      </c>
      <c r="O658" t="s">
        <v>118</v>
      </c>
      <c r="P658" t="str">
        <f>INDEX(Teams!$B:$B,MATCH(E658,Teams!$A:$A,0))</f>
        <v>Mumbai Indians</v>
      </c>
      <c r="Q658" t="str">
        <f>INDEX(Teams!$B:$B,MATCH(F658,Teams!$A:$A,0))</f>
        <v>Rajasthan Royals</v>
      </c>
      <c r="R658" t="str">
        <f>INDEX(Teams!$B:$B,MATCH(G658,Teams!$A:$A,0))</f>
        <v>Mumbai Indians</v>
      </c>
      <c r="S658" t="str">
        <f>IF(K658="","No result",INDEX(Teams!$B:$B,MATCH(K658,Teams!$A:$A,0)))</f>
        <v>Rajasthan Royals</v>
      </c>
      <c r="T658" t="str">
        <f>INDEX(Venues!$B:$B,MATCH(O658,Venues!$A:$A,0))</f>
        <v>Sawai Mansingh Stadium</v>
      </c>
      <c r="U658" t="str">
        <f>INDEX(Venues!$C:$C,MATCH(O658,Venues!$A:$A,0))</f>
        <v>Jaipur</v>
      </c>
      <c r="V658" t="str">
        <f>IF(L658&gt;0,L658&amp;" runs",IF(M658&gt;0,M658&amp;" wickets","-"))</f>
        <v>3 wickets</v>
      </c>
      <c r="W658">
        <f>IF(G658=K658,1,0)</f>
        <v>0</v>
      </c>
      <c r="X658">
        <f>IF(L658&gt;0,L658,"")</f>
        <v/>
      </c>
      <c r="Y658">
        <f>IF(X658="","",IF(X658&gt;Stats!$B$15,"Outlier",""))</f>
        <v/>
      </c>
      <c r="Z658" t="str">
        <f>P658&amp;" vs "&amp;Q658</f>
        <v>Mumbai Indians vs Rajasthan Royals</v>
      </c>
    </row>
    <row r="659" spans="1:26" x14ac:dyDescent="0.25">
      <c r="A659">
        <v>7915</v>
      </c>
      <c r="B659">
        <v>2018</v>
      </c>
      <c r="C659" s="5">
        <v>43213</v>
      </c>
      <c r="D659" t="s">
        <v>172</v>
      </c>
      <c r="E659" t="s">
        <v>26</v>
      </c>
      <c r="F659" t="s">
        <v>20</v>
      </c>
      <c r="G659" t="s">
        <v>20</v>
      </c>
      <c r="H659" t="s">
        <v>173</v>
      </c>
      <c r="I659" t="s">
        <v>174</v>
      </c>
      <c r="J659">
        <v>0</v>
      </c>
      <c r="K659" t="s">
        <v>26</v>
      </c>
      <c r="L659">
        <v>4</v>
      </c>
      <c r="M659">
        <v>0</v>
      </c>
      <c r="N659" t="s">
        <v>386</v>
      </c>
      <c r="O659" t="s">
        <v>75</v>
      </c>
      <c r="P659" t="str">
        <f>INDEX(Teams!$B:$B,MATCH(E659,Teams!$A:$A,0))</f>
        <v>Kings XI Punjab</v>
      </c>
      <c r="Q659" t="str">
        <f>INDEX(Teams!$B:$B,MATCH(F659,Teams!$A:$A,0))</f>
        <v>Delhi Capitals</v>
      </c>
      <c r="R659" t="str">
        <f>INDEX(Teams!$B:$B,MATCH(G659,Teams!$A:$A,0))</f>
        <v>Delhi Capitals</v>
      </c>
      <c r="S659" t="str">
        <f>IF(K659="","No result",INDEX(Teams!$B:$B,MATCH(K659,Teams!$A:$A,0)))</f>
        <v>Kings XI Punjab</v>
      </c>
      <c r="T659" t="str">
        <f>INDEX(Venues!$B:$B,MATCH(O659,Venues!$A:$A,0))</f>
        <v>Feroz Shah Kotla</v>
      </c>
      <c r="U659" t="str">
        <f>INDEX(Venues!$C:$C,MATCH(O659,Venues!$A:$A,0))</f>
        <v>Delhi</v>
      </c>
      <c r="V659" t="str">
        <f>IF(L659&gt;0,L659&amp;" runs",IF(M659&gt;0,M659&amp;" wickets","-"))</f>
        <v>4 runs</v>
      </c>
      <c r="W659">
        <f>IF(G659=K659,1,0)</f>
        <v>0</v>
      </c>
      <c r="X659">
        <f>IF(L659&gt;0,L659,"")</f>
        <v>4</v>
      </c>
      <c r="Y659">
        <f>IF(X659="","",IF(X659&gt;Stats!$B$15,"Outlier",""))</f>
        <v/>
      </c>
      <c r="Z659" t="str">
        <f>P659&amp;" vs "&amp;Q659</f>
        <v>Kings XI Punjab vs Delhi Capitals</v>
      </c>
    </row>
    <row r="660" spans="1:26" x14ac:dyDescent="0.25">
      <c r="A660">
        <v>7916</v>
      </c>
      <c r="B660">
        <v>2018</v>
      </c>
      <c r="C660" s="5">
        <v>43214</v>
      </c>
      <c r="D660" t="s">
        <v>172</v>
      </c>
      <c r="E660" t="s">
        <v>49</v>
      </c>
      <c r="F660" t="s">
        <v>35</v>
      </c>
      <c r="G660" t="s">
        <v>35</v>
      </c>
      <c r="H660" t="s">
        <v>173</v>
      </c>
      <c r="I660" t="s">
        <v>174</v>
      </c>
      <c r="J660">
        <v>0</v>
      </c>
      <c r="K660" t="s">
        <v>49</v>
      </c>
      <c r="L660">
        <v>31</v>
      </c>
      <c r="M660">
        <v>0</v>
      </c>
      <c r="N660" t="s">
        <v>367</v>
      </c>
      <c r="O660" t="s">
        <v>138</v>
      </c>
      <c r="P660" t="str">
        <f>INDEX(Teams!$B:$B,MATCH(E660,Teams!$A:$A,0))</f>
        <v>Sunrisers Hyderabad</v>
      </c>
      <c r="Q660" t="str">
        <f>INDEX(Teams!$B:$B,MATCH(F660,Teams!$A:$A,0))</f>
        <v>Mumbai Indians</v>
      </c>
      <c r="R660" t="str">
        <f>INDEX(Teams!$B:$B,MATCH(G660,Teams!$A:$A,0))</f>
        <v>Mumbai Indians</v>
      </c>
      <c r="S660" t="str">
        <f>IF(K660="","No result",INDEX(Teams!$B:$B,MATCH(K660,Teams!$A:$A,0)))</f>
        <v>Sunrisers Hyderabad</v>
      </c>
      <c r="T660" t="str">
        <f>INDEX(Venues!$B:$B,MATCH(O660,Venues!$A:$A,0))</f>
        <v>Wankhede Stadium</v>
      </c>
      <c r="U660" t="str">
        <f>INDEX(Venues!$C:$C,MATCH(O660,Venues!$A:$A,0))</f>
        <v>Mumbai</v>
      </c>
      <c r="V660" t="str">
        <f>IF(L660&gt;0,L660&amp;" runs",IF(M660&gt;0,M660&amp;" wickets","-"))</f>
        <v>31 runs</v>
      </c>
      <c r="W660">
        <f>IF(G660=K660,1,0)</f>
        <v>0</v>
      </c>
      <c r="X660">
        <f>IF(L660&gt;0,L660,"")</f>
        <v>31</v>
      </c>
      <c r="Y660">
        <f>IF(X660="","",IF(X660&gt;Stats!$B$15,"Outlier",""))</f>
        <v/>
      </c>
      <c r="Z660" t="str">
        <f>P660&amp;" vs "&amp;Q660</f>
        <v>Sunrisers Hyderabad vs Mumbai Indians</v>
      </c>
    </row>
    <row r="661" spans="1:26" x14ac:dyDescent="0.25">
      <c r="A661">
        <v>7917</v>
      </c>
      <c r="B661">
        <v>2018</v>
      </c>
      <c r="C661" s="5">
        <v>43215</v>
      </c>
      <c r="D661" t="s">
        <v>172</v>
      </c>
      <c r="E661" t="s">
        <v>46</v>
      </c>
      <c r="F661" t="s">
        <v>12</v>
      </c>
      <c r="G661" t="s">
        <v>12</v>
      </c>
      <c r="H661" t="s">
        <v>173</v>
      </c>
      <c r="I661" t="s">
        <v>174</v>
      </c>
      <c r="J661">
        <v>0</v>
      </c>
      <c r="K661" t="s">
        <v>12</v>
      </c>
      <c r="L661">
        <v>0</v>
      </c>
      <c r="M661">
        <v>5</v>
      </c>
      <c r="N661" t="s">
        <v>189</v>
      </c>
      <c r="O661" t="s">
        <v>92</v>
      </c>
      <c r="P661" t="str">
        <f>INDEX(Teams!$B:$B,MATCH(E661,Teams!$A:$A,0))</f>
        <v>Royal Challengers Bangalore</v>
      </c>
      <c r="Q661" t="str">
        <f>INDEX(Teams!$B:$B,MATCH(F661,Teams!$A:$A,0))</f>
        <v>Chennai Super Kings</v>
      </c>
      <c r="R661" t="str">
        <f>INDEX(Teams!$B:$B,MATCH(G661,Teams!$A:$A,0))</f>
        <v>Chennai Super Kings</v>
      </c>
      <c r="S661" t="str">
        <f>IF(K661="","No result",INDEX(Teams!$B:$B,MATCH(K661,Teams!$A:$A,0)))</f>
        <v>Chennai Super Kings</v>
      </c>
      <c r="T661" t="str">
        <f>INDEX(Venues!$B:$B,MATCH(O661,Venues!$A:$A,0))</f>
        <v>M Chinnaswamy Stadium</v>
      </c>
      <c r="U661" t="str">
        <f>INDEX(Venues!$C:$C,MATCH(O661,Venues!$A:$A,0))</f>
        <v>Bangalore</v>
      </c>
      <c r="V661" t="str">
        <f>IF(L661&gt;0,L661&amp;" runs",IF(M661&gt;0,M661&amp;" wickets","-"))</f>
        <v>5 wickets</v>
      </c>
      <c r="W661">
        <f>IF(G661=K661,1,0)</f>
        <v>1</v>
      </c>
      <c r="X661">
        <f>IF(L661&gt;0,L661,"")</f>
        <v/>
      </c>
      <c r="Y661">
        <f>IF(X661="","",IF(X661&gt;Stats!$B$15,"Outlier",""))</f>
        <v/>
      </c>
      <c r="Z661" t="str">
        <f>P661&amp;" vs "&amp;Q661</f>
        <v>Royal Challengers Bangalore vs Chennai Super Kings</v>
      </c>
    </row>
    <row r="662" spans="1:26" x14ac:dyDescent="0.25">
      <c r="A662">
        <v>7918</v>
      </c>
      <c r="B662">
        <v>2018</v>
      </c>
      <c r="C662" s="5">
        <v>43216</v>
      </c>
      <c r="D662" t="s">
        <v>172</v>
      </c>
      <c r="E662" t="s">
        <v>49</v>
      </c>
      <c r="F662" t="s">
        <v>26</v>
      </c>
      <c r="G662" t="s">
        <v>26</v>
      </c>
      <c r="H662" t="s">
        <v>173</v>
      </c>
      <c r="I662" t="s">
        <v>174</v>
      </c>
      <c r="J662">
        <v>0</v>
      </c>
      <c r="K662" t="s">
        <v>49</v>
      </c>
      <c r="L662">
        <v>13</v>
      </c>
      <c r="M662">
        <v>0</v>
      </c>
      <c r="N662" t="s">
        <v>386</v>
      </c>
      <c r="O662" t="s">
        <v>111</v>
      </c>
      <c r="P662" t="str">
        <f>INDEX(Teams!$B:$B,MATCH(E662,Teams!$A:$A,0))</f>
        <v>Sunrisers Hyderabad</v>
      </c>
      <c r="Q662" t="str">
        <f>INDEX(Teams!$B:$B,MATCH(F662,Teams!$A:$A,0))</f>
        <v>Kings XI Punjab</v>
      </c>
      <c r="R662" t="str">
        <f>INDEX(Teams!$B:$B,MATCH(G662,Teams!$A:$A,0))</f>
        <v>Kings XI Punjab</v>
      </c>
      <c r="S662" t="str">
        <f>IF(K662="","No result",INDEX(Teams!$B:$B,MATCH(K662,Teams!$A:$A,0)))</f>
        <v>Sunrisers Hyderabad</v>
      </c>
      <c r="T662" t="str">
        <f>INDEX(Venues!$B:$B,MATCH(O662,Venues!$A:$A,0))</f>
        <v>Rajiv Gandhi International Stadium</v>
      </c>
      <c r="U662" t="str">
        <f>INDEX(Venues!$C:$C,MATCH(O662,Venues!$A:$A,0))</f>
        <v>Hyderabad</v>
      </c>
      <c r="V662" t="str">
        <f>IF(L662&gt;0,L662&amp;" runs",IF(M662&gt;0,M662&amp;" wickets","-"))</f>
        <v>13 runs</v>
      </c>
      <c r="W662">
        <f>IF(G662=K662,1,0)</f>
        <v>0</v>
      </c>
      <c r="X662">
        <f>IF(L662&gt;0,L662,"")</f>
        <v>13</v>
      </c>
      <c r="Y662">
        <f>IF(X662="","",IF(X662&gt;Stats!$B$15,"Outlier",""))</f>
        <v/>
      </c>
      <c r="Z662" t="str">
        <f>P662&amp;" vs "&amp;Q662</f>
        <v>Sunrisers Hyderabad vs Kings XI Punjab</v>
      </c>
    </row>
    <row r="663" spans="1:26" x14ac:dyDescent="0.25">
      <c r="A663">
        <v>7919</v>
      </c>
      <c r="B663">
        <v>2018</v>
      </c>
      <c r="C663" s="5">
        <v>43217</v>
      </c>
      <c r="D663" t="s">
        <v>172</v>
      </c>
      <c r="E663" t="s">
        <v>20</v>
      </c>
      <c r="F663" t="s">
        <v>32</v>
      </c>
      <c r="G663" t="s">
        <v>32</v>
      </c>
      <c r="H663" t="s">
        <v>173</v>
      </c>
      <c r="I663" t="s">
        <v>174</v>
      </c>
      <c r="J663">
        <v>0</v>
      </c>
      <c r="K663" t="s">
        <v>20</v>
      </c>
      <c r="L663">
        <v>55</v>
      </c>
      <c r="M663">
        <v>0</v>
      </c>
      <c r="N663" t="s">
        <v>345</v>
      </c>
      <c r="O663" t="s">
        <v>75</v>
      </c>
      <c r="P663" t="str">
        <f>INDEX(Teams!$B:$B,MATCH(E663,Teams!$A:$A,0))</f>
        <v>Delhi Capitals</v>
      </c>
      <c r="Q663" t="str">
        <f>INDEX(Teams!$B:$B,MATCH(F663,Teams!$A:$A,0))</f>
        <v>Kolkata Knight Riders</v>
      </c>
      <c r="R663" t="str">
        <f>INDEX(Teams!$B:$B,MATCH(G663,Teams!$A:$A,0))</f>
        <v>Kolkata Knight Riders</v>
      </c>
      <c r="S663" t="str">
        <f>IF(K663="","No result",INDEX(Teams!$B:$B,MATCH(K663,Teams!$A:$A,0)))</f>
        <v>Delhi Capitals</v>
      </c>
      <c r="T663" t="str">
        <f>INDEX(Venues!$B:$B,MATCH(O663,Venues!$A:$A,0))</f>
        <v>Feroz Shah Kotla</v>
      </c>
      <c r="U663" t="str">
        <f>INDEX(Venues!$C:$C,MATCH(O663,Venues!$A:$A,0))</f>
        <v>Delhi</v>
      </c>
      <c r="V663" t="str">
        <f>IF(L663&gt;0,L663&amp;" runs",IF(M663&gt;0,M663&amp;" wickets","-"))</f>
        <v>55 runs</v>
      </c>
      <c r="W663">
        <f>IF(G663=K663,1,0)</f>
        <v>0</v>
      </c>
      <c r="X663">
        <f>IF(L663&gt;0,L663,"")</f>
        <v>55</v>
      </c>
      <c r="Y663">
        <f>IF(X663="","",IF(X663&gt;Stats!$B$15,"Outlier",""))</f>
        <v/>
      </c>
      <c r="Z663" t="str">
        <f>P663&amp;" vs "&amp;Q663</f>
        <v>Delhi Capitals vs Kolkata Knight Riders</v>
      </c>
    </row>
    <row r="664" spans="1:26" x14ac:dyDescent="0.25">
      <c r="A664">
        <v>7920</v>
      </c>
      <c r="B664">
        <v>2018</v>
      </c>
      <c r="C664" s="5">
        <v>43218</v>
      </c>
      <c r="D664" t="s">
        <v>172</v>
      </c>
      <c r="E664" t="s">
        <v>12</v>
      </c>
      <c r="F664" t="s">
        <v>35</v>
      </c>
      <c r="G664" t="s">
        <v>35</v>
      </c>
      <c r="H664" t="s">
        <v>173</v>
      </c>
      <c r="I664" t="s">
        <v>174</v>
      </c>
      <c r="J664">
        <v>0</v>
      </c>
      <c r="K664" t="s">
        <v>35</v>
      </c>
      <c r="L664">
        <v>0</v>
      </c>
      <c r="M664">
        <v>8</v>
      </c>
      <c r="N664" t="s">
        <v>235</v>
      </c>
      <c r="O664" t="s">
        <v>96</v>
      </c>
      <c r="P664" t="str">
        <f>INDEX(Teams!$B:$B,MATCH(E664,Teams!$A:$A,0))</f>
        <v>Chennai Super Kings</v>
      </c>
      <c r="Q664" t="str">
        <f>INDEX(Teams!$B:$B,MATCH(F664,Teams!$A:$A,0))</f>
        <v>Mumbai Indians</v>
      </c>
      <c r="R664" t="str">
        <f>INDEX(Teams!$B:$B,MATCH(G664,Teams!$A:$A,0))</f>
        <v>Mumbai Indians</v>
      </c>
      <c r="S664" t="str">
        <f>IF(K664="","No result",INDEX(Teams!$B:$B,MATCH(K664,Teams!$A:$A,0)))</f>
        <v>Mumbai Indians</v>
      </c>
      <c r="T664" t="str">
        <f>INDEX(Venues!$B:$B,MATCH(O664,Venues!$A:$A,0))</f>
        <v>Maharashtra Cricket Association Stadium</v>
      </c>
      <c r="U664" t="str">
        <f>INDEX(Venues!$C:$C,MATCH(O664,Venues!$A:$A,0))</f>
        <v>Pune</v>
      </c>
      <c r="V664" t="str">
        <f>IF(L664&gt;0,L664&amp;" runs",IF(M664&gt;0,M664&amp;" wickets","-"))</f>
        <v>8 wickets</v>
      </c>
      <c r="W664">
        <f>IF(G664=K664,1,0)</f>
        <v>1</v>
      </c>
      <c r="X664">
        <f>IF(L664&gt;0,L664,"")</f>
        <v/>
      </c>
      <c r="Y664">
        <f>IF(X664="","",IF(X664&gt;Stats!$B$15,"Outlier",""))</f>
        <v/>
      </c>
      <c r="Z664" t="str">
        <f>P664&amp;" vs "&amp;Q664</f>
        <v>Chennai Super Kings vs Mumbai Indians</v>
      </c>
    </row>
    <row r="665" spans="1:26" x14ac:dyDescent="0.25">
      <c r="A665">
        <v>7921</v>
      </c>
      <c r="B665">
        <v>2018</v>
      </c>
      <c r="C665" s="5">
        <v>43219</v>
      </c>
      <c r="D665" t="s">
        <v>172</v>
      </c>
      <c r="E665" t="s">
        <v>49</v>
      </c>
      <c r="F665" t="s">
        <v>41</v>
      </c>
      <c r="G665" t="s">
        <v>49</v>
      </c>
      <c r="H665" t="s">
        <v>176</v>
      </c>
      <c r="I665" t="s">
        <v>174</v>
      </c>
      <c r="J665">
        <v>0</v>
      </c>
      <c r="K665" t="s">
        <v>49</v>
      </c>
      <c r="L665">
        <v>11</v>
      </c>
      <c r="M665">
        <v>0</v>
      </c>
      <c r="N665" t="s">
        <v>372</v>
      </c>
      <c r="O665" t="s">
        <v>118</v>
      </c>
      <c r="P665" t="str">
        <f>INDEX(Teams!$B:$B,MATCH(E665,Teams!$A:$A,0))</f>
        <v>Sunrisers Hyderabad</v>
      </c>
      <c r="Q665" t="str">
        <f>INDEX(Teams!$B:$B,MATCH(F665,Teams!$A:$A,0))</f>
        <v>Rajasthan Royals</v>
      </c>
      <c r="R665" t="str">
        <f>INDEX(Teams!$B:$B,MATCH(G665,Teams!$A:$A,0))</f>
        <v>Sunrisers Hyderabad</v>
      </c>
      <c r="S665" t="str">
        <f>IF(K665="","No result",INDEX(Teams!$B:$B,MATCH(K665,Teams!$A:$A,0)))</f>
        <v>Sunrisers Hyderabad</v>
      </c>
      <c r="T665" t="str">
        <f>INDEX(Venues!$B:$B,MATCH(O665,Venues!$A:$A,0))</f>
        <v>Sawai Mansingh Stadium</v>
      </c>
      <c r="U665" t="str">
        <f>INDEX(Venues!$C:$C,MATCH(O665,Venues!$A:$A,0))</f>
        <v>Jaipur</v>
      </c>
      <c r="V665" t="str">
        <f>IF(L665&gt;0,L665&amp;" runs",IF(M665&gt;0,M665&amp;" wickets","-"))</f>
        <v>11 runs</v>
      </c>
      <c r="W665">
        <f>IF(G665=K665,1,0)</f>
        <v>1</v>
      </c>
      <c r="X665">
        <f>IF(L665&gt;0,L665,"")</f>
        <v>11</v>
      </c>
      <c r="Y665">
        <f>IF(X665="","",IF(X665&gt;Stats!$B$15,"Outlier",""))</f>
        <v/>
      </c>
      <c r="Z665" t="str">
        <f>P665&amp;" vs "&amp;Q665</f>
        <v>Sunrisers Hyderabad vs Rajasthan Royals</v>
      </c>
    </row>
    <row r="666" spans="1:26" x14ac:dyDescent="0.25">
      <c r="A666">
        <v>7922</v>
      </c>
      <c r="B666">
        <v>2018</v>
      </c>
      <c r="C666" s="5">
        <v>43219</v>
      </c>
      <c r="D666" t="s">
        <v>172</v>
      </c>
      <c r="E666" t="s">
        <v>46</v>
      </c>
      <c r="F666" t="s">
        <v>32</v>
      </c>
      <c r="G666" t="s">
        <v>32</v>
      </c>
      <c r="H666" t="s">
        <v>173</v>
      </c>
      <c r="I666" t="s">
        <v>174</v>
      </c>
      <c r="J666">
        <v>0</v>
      </c>
      <c r="K666" t="s">
        <v>32</v>
      </c>
      <c r="L666">
        <v>0</v>
      </c>
      <c r="M666">
        <v>6</v>
      </c>
      <c r="N666" t="s">
        <v>332</v>
      </c>
      <c r="O666" t="s">
        <v>92</v>
      </c>
      <c r="P666" t="str">
        <f>INDEX(Teams!$B:$B,MATCH(E666,Teams!$A:$A,0))</f>
        <v>Royal Challengers Bangalore</v>
      </c>
      <c r="Q666" t="str">
        <f>INDEX(Teams!$B:$B,MATCH(F666,Teams!$A:$A,0))</f>
        <v>Kolkata Knight Riders</v>
      </c>
      <c r="R666" t="str">
        <f>INDEX(Teams!$B:$B,MATCH(G666,Teams!$A:$A,0))</f>
        <v>Kolkata Knight Riders</v>
      </c>
      <c r="S666" t="str">
        <f>IF(K666="","No result",INDEX(Teams!$B:$B,MATCH(K666,Teams!$A:$A,0)))</f>
        <v>Kolkata Knight Riders</v>
      </c>
      <c r="T666" t="str">
        <f>INDEX(Venues!$B:$B,MATCH(O666,Venues!$A:$A,0))</f>
        <v>M Chinnaswamy Stadium</v>
      </c>
      <c r="U666" t="str">
        <f>INDEX(Venues!$C:$C,MATCH(O666,Venues!$A:$A,0))</f>
        <v>Bangalore</v>
      </c>
      <c r="V666" t="str">
        <f>IF(L666&gt;0,L666&amp;" runs",IF(M666&gt;0,M666&amp;" wickets","-"))</f>
        <v>6 wickets</v>
      </c>
      <c r="W666">
        <f>IF(G666=K666,1,0)</f>
        <v>1</v>
      </c>
      <c r="X666">
        <f>IF(L666&gt;0,L666,"")</f>
        <v/>
      </c>
      <c r="Y666">
        <f>IF(X666="","",IF(X666&gt;Stats!$B$15,"Outlier",""))</f>
        <v/>
      </c>
      <c r="Z666" t="str">
        <f>P666&amp;" vs "&amp;Q666</f>
        <v>Royal Challengers Bangalore vs Kolkata Knight Riders</v>
      </c>
    </row>
    <row r="667" spans="1:26" x14ac:dyDescent="0.25">
      <c r="A667">
        <v>7923</v>
      </c>
      <c r="B667">
        <v>2018</v>
      </c>
      <c r="C667" s="5">
        <v>43220</v>
      </c>
      <c r="D667" t="s">
        <v>172</v>
      </c>
      <c r="E667" t="s">
        <v>12</v>
      </c>
      <c r="F667" t="s">
        <v>20</v>
      </c>
      <c r="G667" t="s">
        <v>20</v>
      </c>
      <c r="H667" t="s">
        <v>173</v>
      </c>
      <c r="I667" t="s">
        <v>174</v>
      </c>
      <c r="J667">
        <v>0</v>
      </c>
      <c r="K667" t="s">
        <v>12</v>
      </c>
      <c r="L667">
        <v>13</v>
      </c>
      <c r="M667">
        <v>0</v>
      </c>
      <c r="N667" t="s">
        <v>181</v>
      </c>
      <c r="O667" t="s">
        <v>96</v>
      </c>
      <c r="P667" t="str">
        <f>INDEX(Teams!$B:$B,MATCH(E667,Teams!$A:$A,0))</f>
        <v>Chennai Super Kings</v>
      </c>
      <c r="Q667" t="str">
        <f>INDEX(Teams!$B:$B,MATCH(F667,Teams!$A:$A,0))</f>
        <v>Delhi Capitals</v>
      </c>
      <c r="R667" t="str">
        <f>INDEX(Teams!$B:$B,MATCH(G667,Teams!$A:$A,0))</f>
        <v>Delhi Capitals</v>
      </c>
      <c r="S667" t="str">
        <f>IF(K667="","No result",INDEX(Teams!$B:$B,MATCH(K667,Teams!$A:$A,0)))</f>
        <v>Chennai Super Kings</v>
      </c>
      <c r="T667" t="str">
        <f>INDEX(Venues!$B:$B,MATCH(O667,Venues!$A:$A,0))</f>
        <v>Maharashtra Cricket Association Stadium</v>
      </c>
      <c r="U667" t="str">
        <f>INDEX(Venues!$C:$C,MATCH(O667,Venues!$A:$A,0))</f>
        <v>Pune</v>
      </c>
      <c r="V667" t="str">
        <f>IF(L667&gt;0,L667&amp;" runs",IF(M667&gt;0,M667&amp;" wickets","-"))</f>
        <v>13 runs</v>
      </c>
      <c r="W667">
        <f>IF(G667=K667,1,0)</f>
        <v>0</v>
      </c>
      <c r="X667">
        <f>IF(L667&gt;0,L667,"")</f>
        <v>13</v>
      </c>
      <c r="Y667">
        <f>IF(X667="","",IF(X667&gt;Stats!$B$15,"Outlier",""))</f>
        <v/>
      </c>
      <c r="Z667" t="str">
        <f>P667&amp;" vs "&amp;Q667</f>
        <v>Chennai Super Kings vs Delhi Capitals</v>
      </c>
    </row>
    <row r="668" spans="1:26" x14ac:dyDescent="0.25">
      <c r="A668">
        <v>7924</v>
      </c>
      <c r="B668">
        <v>2018</v>
      </c>
      <c r="C668" s="5">
        <v>43221</v>
      </c>
      <c r="D668" t="s">
        <v>172</v>
      </c>
      <c r="E668" t="s">
        <v>46</v>
      </c>
      <c r="F668" t="s">
        <v>35</v>
      </c>
      <c r="G668" t="s">
        <v>35</v>
      </c>
      <c r="H668" t="s">
        <v>173</v>
      </c>
      <c r="I668" t="s">
        <v>174</v>
      </c>
      <c r="J668">
        <v>0</v>
      </c>
      <c r="K668" t="s">
        <v>46</v>
      </c>
      <c r="L668">
        <v>14</v>
      </c>
      <c r="M668">
        <v>0</v>
      </c>
      <c r="N668" t="s">
        <v>387</v>
      </c>
      <c r="O668" t="s">
        <v>92</v>
      </c>
      <c r="P668" t="str">
        <f>INDEX(Teams!$B:$B,MATCH(E668,Teams!$A:$A,0))</f>
        <v>Royal Challengers Bangalore</v>
      </c>
      <c r="Q668" t="str">
        <f>INDEX(Teams!$B:$B,MATCH(F668,Teams!$A:$A,0))</f>
        <v>Mumbai Indians</v>
      </c>
      <c r="R668" t="str">
        <f>INDEX(Teams!$B:$B,MATCH(G668,Teams!$A:$A,0))</f>
        <v>Mumbai Indians</v>
      </c>
      <c r="S668" t="str">
        <f>IF(K668="","No result",INDEX(Teams!$B:$B,MATCH(K668,Teams!$A:$A,0)))</f>
        <v>Royal Challengers Bangalore</v>
      </c>
      <c r="T668" t="str">
        <f>INDEX(Venues!$B:$B,MATCH(O668,Venues!$A:$A,0))</f>
        <v>M Chinnaswamy Stadium</v>
      </c>
      <c r="U668" t="str">
        <f>INDEX(Venues!$C:$C,MATCH(O668,Venues!$A:$A,0))</f>
        <v>Bangalore</v>
      </c>
      <c r="V668" t="str">
        <f>IF(L668&gt;0,L668&amp;" runs",IF(M668&gt;0,M668&amp;" wickets","-"))</f>
        <v>14 runs</v>
      </c>
      <c r="W668">
        <f>IF(G668=K668,1,0)</f>
        <v>0</v>
      </c>
      <c r="X668">
        <f>IF(L668&gt;0,L668,"")</f>
        <v>14</v>
      </c>
      <c r="Y668">
        <f>IF(X668="","",IF(X668&gt;Stats!$B$15,"Outlier",""))</f>
        <v/>
      </c>
      <c r="Z668" t="str">
        <f>P668&amp;" vs "&amp;Q668</f>
        <v>Royal Challengers Bangalore vs Mumbai Indians</v>
      </c>
    </row>
    <row r="669" spans="1:26" x14ac:dyDescent="0.25">
      <c r="A669">
        <v>7925</v>
      </c>
      <c r="B669">
        <v>2018</v>
      </c>
      <c r="C669" s="5">
        <v>43222</v>
      </c>
      <c r="D669" t="s">
        <v>172</v>
      </c>
      <c r="E669" t="s">
        <v>20</v>
      </c>
      <c r="F669" t="s">
        <v>41</v>
      </c>
      <c r="G669" t="s">
        <v>41</v>
      </c>
      <c r="H669" t="s">
        <v>173</v>
      </c>
      <c r="I669" t="s">
        <v>174</v>
      </c>
      <c r="J669">
        <v>1</v>
      </c>
      <c r="K669" t="s">
        <v>20</v>
      </c>
      <c r="L669">
        <v>4</v>
      </c>
      <c r="M669">
        <v>0</v>
      </c>
      <c r="N669" t="s">
        <v>361</v>
      </c>
      <c r="O669" t="s">
        <v>75</v>
      </c>
      <c r="P669" t="str">
        <f>INDEX(Teams!$B:$B,MATCH(E669,Teams!$A:$A,0))</f>
        <v>Delhi Capitals</v>
      </c>
      <c r="Q669" t="str">
        <f>INDEX(Teams!$B:$B,MATCH(F669,Teams!$A:$A,0))</f>
        <v>Rajasthan Royals</v>
      </c>
      <c r="R669" t="str">
        <f>INDEX(Teams!$B:$B,MATCH(G669,Teams!$A:$A,0))</f>
        <v>Rajasthan Royals</v>
      </c>
      <c r="S669" t="str">
        <f>IF(K669="","No result",INDEX(Teams!$B:$B,MATCH(K669,Teams!$A:$A,0)))</f>
        <v>Delhi Capitals</v>
      </c>
      <c r="T669" t="str">
        <f>INDEX(Venues!$B:$B,MATCH(O669,Venues!$A:$A,0))</f>
        <v>Feroz Shah Kotla</v>
      </c>
      <c r="U669" t="str">
        <f>INDEX(Venues!$C:$C,MATCH(O669,Venues!$A:$A,0))</f>
        <v>Delhi</v>
      </c>
      <c r="V669" t="str">
        <f>IF(L669&gt;0,L669&amp;" runs",IF(M669&gt;0,M669&amp;" wickets","-"))</f>
        <v>4 runs</v>
      </c>
      <c r="W669">
        <f>IF(G669=K669,1,0)</f>
        <v>0</v>
      </c>
      <c r="X669">
        <f>IF(L669&gt;0,L669,"")</f>
        <v>4</v>
      </c>
      <c r="Y669">
        <f>IF(X669="","",IF(X669&gt;Stats!$B$15,"Outlier",""))</f>
        <v/>
      </c>
      <c r="Z669" t="str">
        <f>P669&amp;" vs "&amp;Q669</f>
        <v>Delhi Capitals vs Rajasthan Royals</v>
      </c>
    </row>
    <row r="670" spans="1:26" x14ac:dyDescent="0.25">
      <c r="A670">
        <v>7926</v>
      </c>
      <c r="B670">
        <v>2018</v>
      </c>
      <c r="C670" s="5">
        <v>43223</v>
      </c>
      <c r="D670" t="s">
        <v>172</v>
      </c>
      <c r="E670" t="s">
        <v>12</v>
      </c>
      <c r="F670" t="s">
        <v>32</v>
      </c>
      <c r="G670" t="s">
        <v>32</v>
      </c>
      <c r="H670" t="s">
        <v>173</v>
      </c>
      <c r="I670" t="s">
        <v>174</v>
      </c>
      <c r="J670">
        <v>0</v>
      </c>
      <c r="K670" t="s">
        <v>32</v>
      </c>
      <c r="L670">
        <v>0</v>
      </c>
      <c r="M670">
        <v>6</v>
      </c>
      <c r="N670" t="s">
        <v>306</v>
      </c>
      <c r="O670" t="s">
        <v>73</v>
      </c>
      <c r="P670" t="str">
        <f>INDEX(Teams!$B:$B,MATCH(E670,Teams!$A:$A,0))</f>
        <v>Chennai Super Kings</v>
      </c>
      <c r="Q670" t="str">
        <f>INDEX(Teams!$B:$B,MATCH(F670,Teams!$A:$A,0))</f>
        <v>Kolkata Knight Riders</v>
      </c>
      <c r="R670" t="str">
        <f>INDEX(Teams!$B:$B,MATCH(G670,Teams!$A:$A,0))</f>
        <v>Kolkata Knight Riders</v>
      </c>
      <c r="S670" t="str">
        <f>IF(K670="","No result",INDEX(Teams!$B:$B,MATCH(K670,Teams!$A:$A,0)))</f>
        <v>Kolkata Knight Riders</v>
      </c>
      <c r="T670" t="str">
        <f>INDEX(Venues!$B:$B,MATCH(O670,Venues!$A:$A,0))</f>
        <v>Eden Gardens</v>
      </c>
      <c r="U670" t="str">
        <f>INDEX(Venues!$C:$C,MATCH(O670,Venues!$A:$A,0))</f>
        <v>Kolkata</v>
      </c>
      <c r="V670" t="str">
        <f>IF(L670&gt;0,L670&amp;" runs",IF(M670&gt;0,M670&amp;" wickets","-"))</f>
        <v>6 wickets</v>
      </c>
      <c r="W670">
        <f>IF(G670=K670,1,0)</f>
        <v>1</v>
      </c>
      <c r="X670">
        <f>IF(L670&gt;0,L670,"")</f>
        <v/>
      </c>
      <c r="Y670">
        <f>IF(X670="","",IF(X670&gt;Stats!$B$15,"Outlier",""))</f>
        <v/>
      </c>
      <c r="Z670" t="str">
        <f>P670&amp;" vs "&amp;Q670</f>
        <v>Chennai Super Kings vs Kolkata Knight Riders</v>
      </c>
    </row>
    <row r="671" spans="1:26" x14ac:dyDescent="0.25">
      <c r="A671">
        <v>7927</v>
      </c>
      <c r="B671">
        <v>2018</v>
      </c>
      <c r="C671" s="5">
        <v>43224</v>
      </c>
      <c r="D671" t="s">
        <v>172</v>
      </c>
      <c r="E671" t="s">
        <v>26</v>
      </c>
      <c r="F671" t="s">
        <v>35</v>
      </c>
      <c r="G671" t="s">
        <v>35</v>
      </c>
      <c r="H671" t="s">
        <v>173</v>
      </c>
      <c r="I671" t="s">
        <v>174</v>
      </c>
      <c r="J671">
        <v>0</v>
      </c>
      <c r="K671" t="s">
        <v>35</v>
      </c>
      <c r="L671">
        <v>0</v>
      </c>
      <c r="M671">
        <v>6</v>
      </c>
      <c r="N671" t="s">
        <v>388</v>
      </c>
      <c r="O671" t="s">
        <v>83</v>
      </c>
      <c r="P671" t="str">
        <f>INDEX(Teams!$B:$B,MATCH(E671,Teams!$A:$A,0))</f>
        <v>Kings XI Punjab</v>
      </c>
      <c r="Q671" t="str">
        <f>INDEX(Teams!$B:$B,MATCH(F671,Teams!$A:$A,0))</f>
        <v>Mumbai Indians</v>
      </c>
      <c r="R671" t="str">
        <f>INDEX(Teams!$B:$B,MATCH(G671,Teams!$A:$A,0))</f>
        <v>Mumbai Indians</v>
      </c>
      <c r="S671" t="str">
        <f>IF(K671="","No result",INDEX(Teams!$B:$B,MATCH(K671,Teams!$A:$A,0)))</f>
        <v>Mumbai Indians</v>
      </c>
      <c r="T671" t="str">
        <f>INDEX(Venues!$B:$B,MATCH(O671,Venues!$A:$A,0))</f>
        <v>Holkar Cricket Stadium</v>
      </c>
      <c r="U671" t="str">
        <f>INDEX(Venues!$C:$C,MATCH(O671,Venues!$A:$A,0))</f>
        <v>Indore</v>
      </c>
      <c r="V671" t="str">
        <f>IF(L671&gt;0,L671&amp;" runs",IF(M671&gt;0,M671&amp;" wickets","-"))</f>
        <v>6 wickets</v>
      </c>
      <c r="W671">
        <f>IF(G671=K671,1,0)</f>
        <v>1</v>
      </c>
      <c r="X671">
        <f>IF(L671&gt;0,L671,"")</f>
        <v/>
      </c>
      <c r="Y671">
        <f>IF(X671="","",IF(X671&gt;Stats!$B$15,"Outlier",""))</f>
        <v/>
      </c>
      <c r="Z671" t="str">
        <f>P671&amp;" vs "&amp;Q671</f>
        <v>Kings XI Punjab vs Mumbai Indians</v>
      </c>
    </row>
    <row r="672" spans="1:26" x14ac:dyDescent="0.25">
      <c r="A672">
        <v>7928</v>
      </c>
      <c r="B672">
        <v>2018</v>
      </c>
      <c r="C672" s="5">
        <v>43225</v>
      </c>
      <c r="D672" t="s">
        <v>172</v>
      </c>
      <c r="E672" t="s">
        <v>46</v>
      </c>
      <c r="F672" t="s">
        <v>12</v>
      </c>
      <c r="G672" t="s">
        <v>12</v>
      </c>
      <c r="H672" t="s">
        <v>173</v>
      </c>
      <c r="I672" t="s">
        <v>174</v>
      </c>
      <c r="J672">
        <v>0</v>
      </c>
      <c r="K672" t="s">
        <v>12</v>
      </c>
      <c r="L672">
        <v>0</v>
      </c>
      <c r="M672">
        <v>6</v>
      </c>
      <c r="N672" t="s">
        <v>299</v>
      </c>
      <c r="O672" t="s">
        <v>96</v>
      </c>
      <c r="P672" t="str">
        <f>INDEX(Teams!$B:$B,MATCH(E672,Teams!$A:$A,0))</f>
        <v>Royal Challengers Bangalore</v>
      </c>
      <c r="Q672" t="str">
        <f>INDEX(Teams!$B:$B,MATCH(F672,Teams!$A:$A,0))</f>
        <v>Chennai Super Kings</v>
      </c>
      <c r="R672" t="str">
        <f>INDEX(Teams!$B:$B,MATCH(G672,Teams!$A:$A,0))</f>
        <v>Chennai Super Kings</v>
      </c>
      <c r="S672" t="str">
        <f>IF(K672="","No result",INDEX(Teams!$B:$B,MATCH(K672,Teams!$A:$A,0)))</f>
        <v>Chennai Super Kings</v>
      </c>
      <c r="T672" t="str">
        <f>INDEX(Venues!$B:$B,MATCH(O672,Venues!$A:$A,0))</f>
        <v>Maharashtra Cricket Association Stadium</v>
      </c>
      <c r="U672" t="str">
        <f>INDEX(Venues!$C:$C,MATCH(O672,Venues!$A:$A,0))</f>
        <v>Pune</v>
      </c>
      <c r="V672" t="str">
        <f>IF(L672&gt;0,L672&amp;" runs",IF(M672&gt;0,M672&amp;" wickets","-"))</f>
        <v>6 wickets</v>
      </c>
      <c r="W672">
        <f>IF(G672=K672,1,0)</f>
        <v>1</v>
      </c>
      <c r="X672">
        <f>IF(L672&gt;0,L672,"")</f>
        <v/>
      </c>
      <c r="Y672">
        <f>IF(X672="","",IF(X672&gt;Stats!$B$15,"Outlier",""))</f>
        <v/>
      </c>
      <c r="Z672" t="str">
        <f>P672&amp;" vs "&amp;Q672</f>
        <v>Royal Challengers Bangalore vs Chennai Super Kings</v>
      </c>
    </row>
    <row r="673" spans="1:26" x14ac:dyDescent="0.25">
      <c r="A673">
        <v>7929</v>
      </c>
      <c r="B673">
        <v>2018</v>
      </c>
      <c r="C673" s="5">
        <v>43225</v>
      </c>
      <c r="D673" t="s">
        <v>172</v>
      </c>
      <c r="E673" t="s">
        <v>20</v>
      </c>
      <c r="F673" t="s">
        <v>49</v>
      </c>
      <c r="G673" t="s">
        <v>20</v>
      </c>
      <c r="H673" t="s">
        <v>176</v>
      </c>
      <c r="I673" t="s">
        <v>174</v>
      </c>
      <c r="J673">
        <v>0</v>
      </c>
      <c r="K673" t="s">
        <v>49</v>
      </c>
      <c r="L673">
        <v>0</v>
      </c>
      <c r="M673">
        <v>7</v>
      </c>
      <c r="N673" t="s">
        <v>367</v>
      </c>
      <c r="O673" t="s">
        <v>111</v>
      </c>
      <c r="P673" t="str">
        <f>INDEX(Teams!$B:$B,MATCH(E673,Teams!$A:$A,0))</f>
        <v>Delhi Capitals</v>
      </c>
      <c r="Q673" t="str">
        <f>INDEX(Teams!$B:$B,MATCH(F673,Teams!$A:$A,0))</f>
        <v>Sunrisers Hyderabad</v>
      </c>
      <c r="R673" t="str">
        <f>INDEX(Teams!$B:$B,MATCH(G673,Teams!$A:$A,0))</f>
        <v>Delhi Capitals</v>
      </c>
      <c r="S673" t="str">
        <f>IF(K673="","No result",INDEX(Teams!$B:$B,MATCH(K673,Teams!$A:$A,0)))</f>
        <v>Sunrisers Hyderabad</v>
      </c>
      <c r="T673" t="str">
        <f>INDEX(Venues!$B:$B,MATCH(O673,Venues!$A:$A,0))</f>
        <v>Rajiv Gandhi International Stadium</v>
      </c>
      <c r="U673" t="str">
        <f>INDEX(Venues!$C:$C,MATCH(O673,Venues!$A:$A,0))</f>
        <v>Hyderabad</v>
      </c>
      <c r="V673" t="str">
        <f>IF(L673&gt;0,L673&amp;" runs",IF(M673&gt;0,M673&amp;" wickets","-"))</f>
        <v>7 wickets</v>
      </c>
      <c r="W673">
        <f>IF(G673=K673,1,0)</f>
        <v>0</v>
      </c>
      <c r="X673">
        <f>IF(L673&gt;0,L673,"")</f>
        <v/>
      </c>
      <c r="Y673">
        <f>IF(X673="","",IF(X673&gt;Stats!$B$15,"Outlier",""))</f>
        <v/>
      </c>
      <c r="Z673" t="str">
        <f>P673&amp;" vs "&amp;Q673</f>
        <v>Delhi Capitals vs Sunrisers Hyderabad</v>
      </c>
    </row>
    <row r="674" spans="1:26" x14ac:dyDescent="0.25">
      <c r="A674">
        <v>7930</v>
      </c>
      <c r="B674">
        <v>2018</v>
      </c>
      <c r="C674" s="5">
        <v>43226</v>
      </c>
      <c r="D674" t="s">
        <v>172</v>
      </c>
      <c r="E674" t="s">
        <v>35</v>
      </c>
      <c r="F674" t="s">
        <v>32</v>
      </c>
      <c r="G674" t="s">
        <v>32</v>
      </c>
      <c r="H674" t="s">
        <v>173</v>
      </c>
      <c r="I674" t="s">
        <v>174</v>
      </c>
      <c r="J674">
        <v>0</v>
      </c>
      <c r="K674" t="s">
        <v>35</v>
      </c>
      <c r="L674">
        <v>13</v>
      </c>
      <c r="M674">
        <v>0</v>
      </c>
      <c r="N674" t="s">
        <v>351</v>
      </c>
      <c r="O674" t="s">
        <v>138</v>
      </c>
      <c r="P674" t="str">
        <f>INDEX(Teams!$B:$B,MATCH(E674,Teams!$A:$A,0))</f>
        <v>Mumbai Indians</v>
      </c>
      <c r="Q674" t="str">
        <f>INDEX(Teams!$B:$B,MATCH(F674,Teams!$A:$A,0))</f>
        <v>Kolkata Knight Riders</v>
      </c>
      <c r="R674" t="str">
        <f>INDEX(Teams!$B:$B,MATCH(G674,Teams!$A:$A,0))</f>
        <v>Kolkata Knight Riders</v>
      </c>
      <c r="S674" t="str">
        <f>IF(K674="","No result",INDEX(Teams!$B:$B,MATCH(K674,Teams!$A:$A,0)))</f>
        <v>Mumbai Indians</v>
      </c>
      <c r="T674" t="str">
        <f>INDEX(Venues!$B:$B,MATCH(O674,Venues!$A:$A,0))</f>
        <v>Wankhede Stadium</v>
      </c>
      <c r="U674" t="str">
        <f>INDEX(Venues!$C:$C,MATCH(O674,Venues!$A:$A,0))</f>
        <v>Mumbai</v>
      </c>
      <c r="V674" t="str">
        <f>IF(L674&gt;0,L674&amp;" runs",IF(M674&gt;0,M674&amp;" wickets","-"))</f>
        <v>13 runs</v>
      </c>
      <c r="W674">
        <f>IF(G674=K674,1,0)</f>
        <v>0</v>
      </c>
      <c r="X674">
        <f>IF(L674&gt;0,L674,"")</f>
        <v>13</v>
      </c>
      <c r="Y674">
        <f>IF(X674="","",IF(X674&gt;Stats!$B$15,"Outlier",""))</f>
        <v/>
      </c>
      <c r="Z674" t="str">
        <f>P674&amp;" vs "&amp;Q674</f>
        <v>Mumbai Indians vs Kolkata Knight Riders</v>
      </c>
    </row>
    <row r="675" spans="1:26" x14ac:dyDescent="0.25">
      <c r="A675">
        <v>7931</v>
      </c>
      <c r="B675">
        <v>2018</v>
      </c>
      <c r="C675" s="5">
        <v>43226</v>
      </c>
      <c r="D675" t="s">
        <v>172</v>
      </c>
      <c r="E675" t="s">
        <v>41</v>
      </c>
      <c r="F675" t="s">
        <v>26</v>
      </c>
      <c r="G675" t="s">
        <v>26</v>
      </c>
      <c r="H675" t="s">
        <v>173</v>
      </c>
      <c r="I675" t="s">
        <v>174</v>
      </c>
      <c r="J675">
        <v>0</v>
      </c>
      <c r="K675" t="s">
        <v>26</v>
      </c>
      <c r="L675">
        <v>0</v>
      </c>
      <c r="M675">
        <v>6</v>
      </c>
      <c r="N675" t="s">
        <v>389</v>
      </c>
      <c r="O675" t="s">
        <v>83</v>
      </c>
      <c r="P675" t="str">
        <f>INDEX(Teams!$B:$B,MATCH(E675,Teams!$A:$A,0))</f>
        <v>Rajasthan Royals</v>
      </c>
      <c r="Q675" t="str">
        <f>INDEX(Teams!$B:$B,MATCH(F675,Teams!$A:$A,0))</f>
        <v>Kings XI Punjab</v>
      </c>
      <c r="R675" t="str">
        <f>INDEX(Teams!$B:$B,MATCH(G675,Teams!$A:$A,0))</f>
        <v>Kings XI Punjab</v>
      </c>
      <c r="S675" t="str">
        <f>IF(K675="","No result",INDEX(Teams!$B:$B,MATCH(K675,Teams!$A:$A,0)))</f>
        <v>Kings XI Punjab</v>
      </c>
      <c r="T675" t="str">
        <f>INDEX(Venues!$B:$B,MATCH(O675,Venues!$A:$A,0))</f>
        <v>Holkar Cricket Stadium</v>
      </c>
      <c r="U675" t="str">
        <f>INDEX(Venues!$C:$C,MATCH(O675,Venues!$A:$A,0))</f>
        <v>Indore</v>
      </c>
      <c r="V675" t="str">
        <f>IF(L675&gt;0,L675&amp;" runs",IF(M675&gt;0,M675&amp;" wickets","-"))</f>
        <v>6 wickets</v>
      </c>
      <c r="W675">
        <f>IF(G675=K675,1,0)</f>
        <v>1</v>
      </c>
      <c r="X675">
        <f>IF(L675&gt;0,L675,"")</f>
        <v/>
      </c>
      <c r="Y675">
        <f>IF(X675="","",IF(X675&gt;Stats!$B$15,"Outlier",""))</f>
        <v/>
      </c>
      <c r="Z675" t="str">
        <f>P675&amp;" vs "&amp;Q675</f>
        <v>Rajasthan Royals vs Kings XI Punjab</v>
      </c>
    </row>
    <row r="676" spans="1:26" x14ac:dyDescent="0.25">
      <c r="A676">
        <v>7932</v>
      </c>
      <c r="B676">
        <v>2018</v>
      </c>
      <c r="C676" s="5">
        <v>43227</v>
      </c>
      <c r="D676" t="s">
        <v>172</v>
      </c>
      <c r="E676" t="s">
        <v>49</v>
      </c>
      <c r="F676" t="s">
        <v>46</v>
      </c>
      <c r="G676" t="s">
        <v>46</v>
      </c>
      <c r="H676" t="s">
        <v>173</v>
      </c>
      <c r="I676" t="s">
        <v>174</v>
      </c>
      <c r="J676">
        <v>0</v>
      </c>
      <c r="K676" t="s">
        <v>49</v>
      </c>
      <c r="L676">
        <v>5</v>
      </c>
      <c r="M676">
        <v>0</v>
      </c>
      <c r="N676" t="s">
        <v>372</v>
      </c>
      <c r="O676" t="s">
        <v>111</v>
      </c>
      <c r="P676" t="str">
        <f>INDEX(Teams!$B:$B,MATCH(E676,Teams!$A:$A,0))</f>
        <v>Sunrisers Hyderabad</v>
      </c>
      <c r="Q676" t="str">
        <f>INDEX(Teams!$B:$B,MATCH(F676,Teams!$A:$A,0))</f>
        <v>Royal Challengers Bangalore</v>
      </c>
      <c r="R676" t="str">
        <f>INDEX(Teams!$B:$B,MATCH(G676,Teams!$A:$A,0))</f>
        <v>Royal Challengers Bangalore</v>
      </c>
      <c r="S676" t="str">
        <f>IF(K676="","No result",INDEX(Teams!$B:$B,MATCH(K676,Teams!$A:$A,0)))</f>
        <v>Sunrisers Hyderabad</v>
      </c>
      <c r="T676" t="str">
        <f>INDEX(Venues!$B:$B,MATCH(O676,Venues!$A:$A,0))</f>
        <v>Rajiv Gandhi International Stadium</v>
      </c>
      <c r="U676" t="str">
        <f>INDEX(Venues!$C:$C,MATCH(O676,Venues!$A:$A,0))</f>
        <v>Hyderabad</v>
      </c>
      <c r="V676" t="str">
        <f>IF(L676&gt;0,L676&amp;" runs",IF(M676&gt;0,M676&amp;" wickets","-"))</f>
        <v>5 runs</v>
      </c>
      <c r="W676">
        <f>IF(G676=K676,1,0)</f>
        <v>0</v>
      </c>
      <c r="X676">
        <f>IF(L676&gt;0,L676,"")</f>
        <v>5</v>
      </c>
      <c r="Y676">
        <f>IF(X676="","",IF(X676&gt;Stats!$B$15,"Outlier",""))</f>
        <v/>
      </c>
      <c r="Z676" t="str">
        <f>P676&amp;" vs "&amp;Q676</f>
        <v>Sunrisers Hyderabad vs Royal Challengers Bangalore</v>
      </c>
    </row>
    <row r="677" spans="1:26" x14ac:dyDescent="0.25">
      <c r="A677">
        <v>7933</v>
      </c>
      <c r="B677">
        <v>2018</v>
      </c>
      <c r="C677" s="5">
        <v>43228</v>
      </c>
      <c r="D677" t="s">
        <v>172</v>
      </c>
      <c r="E677" t="s">
        <v>41</v>
      </c>
      <c r="F677" t="s">
        <v>26</v>
      </c>
      <c r="G677" t="s">
        <v>41</v>
      </c>
      <c r="H677" t="s">
        <v>176</v>
      </c>
      <c r="I677" t="s">
        <v>174</v>
      </c>
      <c r="J677">
        <v>0</v>
      </c>
      <c r="K677" t="s">
        <v>41</v>
      </c>
      <c r="L677">
        <v>15</v>
      </c>
      <c r="M677">
        <v>0</v>
      </c>
      <c r="N677" t="s">
        <v>373</v>
      </c>
      <c r="O677" t="s">
        <v>118</v>
      </c>
      <c r="P677" t="str">
        <f>INDEX(Teams!$B:$B,MATCH(E677,Teams!$A:$A,0))</f>
        <v>Rajasthan Royals</v>
      </c>
      <c r="Q677" t="str">
        <f>INDEX(Teams!$B:$B,MATCH(F677,Teams!$A:$A,0))</f>
        <v>Kings XI Punjab</v>
      </c>
      <c r="R677" t="str">
        <f>INDEX(Teams!$B:$B,MATCH(G677,Teams!$A:$A,0))</f>
        <v>Rajasthan Royals</v>
      </c>
      <c r="S677" t="str">
        <f>IF(K677="","No result",INDEX(Teams!$B:$B,MATCH(K677,Teams!$A:$A,0)))</f>
        <v>Rajasthan Royals</v>
      </c>
      <c r="T677" t="str">
        <f>INDEX(Venues!$B:$B,MATCH(O677,Venues!$A:$A,0))</f>
        <v>Sawai Mansingh Stadium</v>
      </c>
      <c r="U677" t="str">
        <f>INDEX(Venues!$C:$C,MATCH(O677,Venues!$A:$A,0))</f>
        <v>Jaipur</v>
      </c>
      <c r="V677" t="str">
        <f>IF(L677&gt;0,L677&amp;" runs",IF(M677&gt;0,M677&amp;" wickets","-"))</f>
        <v>15 runs</v>
      </c>
      <c r="W677">
        <f>IF(G677=K677,1,0)</f>
        <v>1</v>
      </c>
      <c r="X677">
        <f>IF(L677&gt;0,L677,"")</f>
        <v>15</v>
      </c>
      <c r="Y677">
        <f>IF(X677="","",IF(X677&gt;Stats!$B$15,"Outlier",""))</f>
        <v/>
      </c>
      <c r="Z677" t="str">
        <f>P677&amp;" vs "&amp;Q677</f>
        <v>Rajasthan Royals vs Kings XI Punjab</v>
      </c>
    </row>
    <row r="678" spans="1:26" x14ac:dyDescent="0.25">
      <c r="A678">
        <v>7934</v>
      </c>
      <c r="B678">
        <v>2018</v>
      </c>
      <c r="C678" s="5">
        <v>43229</v>
      </c>
      <c r="D678" t="s">
        <v>172</v>
      </c>
      <c r="E678" t="s">
        <v>35</v>
      </c>
      <c r="F678" t="s">
        <v>32</v>
      </c>
      <c r="G678" t="s">
        <v>32</v>
      </c>
      <c r="H678" t="s">
        <v>173</v>
      </c>
      <c r="I678" t="s">
        <v>174</v>
      </c>
      <c r="J678">
        <v>0</v>
      </c>
      <c r="K678" t="s">
        <v>35</v>
      </c>
      <c r="L678">
        <v>102</v>
      </c>
      <c r="M678">
        <v>0</v>
      </c>
      <c r="N678" t="s">
        <v>390</v>
      </c>
      <c r="O678" t="s">
        <v>73</v>
      </c>
      <c r="P678" t="str">
        <f>INDEX(Teams!$B:$B,MATCH(E678,Teams!$A:$A,0))</f>
        <v>Mumbai Indians</v>
      </c>
      <c r="Q678" t="str">
        <f>INDEX(Teams!$B:$B,MATCH(F678,Teams!$A:$A,0))</f>
        <v>Kolkata Knight Riders</v>
      </c>
      <c r="R678" t="str">
        <f>INDEX(Teams!$B:$B,MATCH(G678,Teams!$A:$A,0))</f>
        <v>Kolkata Knight Riders</v>
      </c>
      <c r="S678" t="str">
        <f>IF(K678="","No result",INDEX(Teams!$B:$B,MATCH(K678,Teams!$A:$A,0)))</f>
        <v>Mumbai Indians</v>
      </c>
      <c r="T678" t="str">
        <f>INDEX(Venues!$B:$B,MATCH(O678,Venues!$A:$A,0))</f>
        <v>Eden Gardens</v>
      </c>
      <c r="U678" t="str">
        <f>INDEX(Venues!$C:$C,MATCH(O678,Venues!$A:$A,0))</f>
        <v>Kolkata</v>
      </c>
      <c r="V678" t="str">
        <f>IF(L678&gt;0,L678&amp;" runs",IF(M678&gt;0,M678&amp;" wickets","-"))</f>
        <v>102 runs</v>
      </c>
      <c r="W678">
        <f>IF(G678=K678,1,0)</f>
        <v>0</v>
      </c>
      <c r="X678">
        <f>IF(L678&gt;0,L678,"")</f>
        <v>102</v>
      </c>
      <c r="Y678" t="str">
        <f>IF(X678="","",IF(X678&gt;Stats!$B$15,"Outlier",""))</f>
        <v>Outlier</v>
      </c>
      <c r="Z678" t="str">
        <f>P678&amp;" vs "&amp;Q678</f>
        <v>Mumbai Indians vs Kolkata Knight Riders</v>
      </c>
    </row>
    <row r="679" spans="1:26" x14ac:dyDescent="0.25">
      <c r="A679">
        <v>7935</v>
      </c>
      <c r="B679">
        <v>2018</v>
      </c>
      <c r="C679" s="5">
        <v>43230</v>
      </c>
      <c r="D679" t="s">
        <v>172</v>
      </c>
      <c r="E679" t="s">
        <v>20</v>
      </c>
      <c r="F679" t="s">
        <v>49</v>
      </c>
      <c r="G679" t="s">
        <v>20</v>
      </c>
      <c r="H679" t="s">
        <v>176</v>
      </c>
      <c r="I679" t="s">
        <v>174</v>
      </c>
      <c r="J679">
        <v>0</v>
      </c>
      <c r="K679" t="s">
        <v>49</v>
      </c>
      <c r="L679">
        <v>0</v>
      </c>
      <c r="M679">
        <v>9</v>
      </c>
      <c r="N679" t="s">
        <v>292</v>
      </c>
      <c r="O679" t="s">
        <v>75</v>
      </c>
      <c r="P679" t="str">
        <f>INDEX(Teams!$B:$B,MATCH(E679,Teams!$A:$A,0))</f>
        <v>Delhi Capitals</v>
      </c>
      <c r="Q679" t="str">
        <f>INDEX(Teams!$B:$B,MATCH(F679,Teams!$A:$A,0))</f>
        <v>Sunrisers Hyderabad</v>
      </c>
      <c r="R679" t="str">
        <f>INDEX(Teams!$B:$B,MATCH(G679,Teams!$A:$A,0))</f>
        <v>Delhi Capitals</v>
      </c>
      <c r="S679" t="str">
        <f>IF(K679="","No result",INDEX(Teams!$B:$B,MATCH(K679,Teams!$A:$A,0)))</f>
        <v>Sunrisers Hyderabad</v>
      </c>
      <c r="T679" t="str">
        <f>INDEX(Venues!$B:$B,MATCH(O679,Venues!$A:$A,0))</f>
        <v>Feroz Shah Kotla</v>
      </c>
      <c r="U679" t="str">
        <f>INDEX(Venues!$C:$C,MATCH(O679,Venues!$A:$A,0))</f>
        <v>Delhi</v>
      </c>
      <c r="V679" t="str">
        <f>IF(L679&gt;0,L679&amp;" runs",IF(M679&gt;0,M679&amp;" wickets","-"))</f>
        <v>9 wickets</v>
      </c>
      <c r="W679">
        <f>IF(G679=K679,1,0)</f>
        <v>0</v>
      </c>
      <c r="X679">
        <f>IF(L679&gt;0,L679,"")</f>
        <v/>
      </c>
      <c r="Y679">
        <f>IF(X679="","",IF(X679&gt;Stats!$B$15,"Outlier",""))</f>
        <v/>
      </c>
      <c r="Z679" t="str">
        <f>P679&amp;" vs "&amp;Q679</f>
        <v>Delhi Capitals vs Sunrisers Hyderabad</v>
      </c>
    </row>
    <row r="680" spans="1:26" x14ac:dyDescent="0.25">
      <c r="A680">
        <v>7936</v>
      </c>
      <c r="B680">
        <v>2018</v>
      </c>
      <c r="C680" s="5">
        <v>43231</v>
      </c>
      <c r="D680" t="s">
        <v>172</v>
      </c>
      <c r="E680" t="s">
        <v>12</v>
      </c>
      <c r="F680" t="s">
        <v>41</v>
      </c>
      <c r="G680" t="s">
        <v>12</v>
      </c>
      <c r="H680" t="s">
        <v>176</v>
      </c>
      <c r="I680" t="s">
        <v>174</v>
      </c>
      <c r="J680">
        <v>0</v>
      </c>
      <c r="K680" t="s">
        <v>41</v>
      </c>
      <c r="L680">
        <v>0</v>
      </c>
      <c r="M680">
        <v>4</v>
      </c>
      <c r="N680" t="s">
        <v>373</v>
      </c>
      <c r="O680" t="s">
        <v>118</v>
      </c>
      <c r="P680" t="str">
        <f>INDEX(Teams!$B:$B,MATCH(E680,Teams!$A:$A,0))</f>
        <v>Chennai Super Kings</v>
      </c>
      <c r="Q680" t="str">
        <f>INDEX(Teams!$B:$B,MATCH(F680,Teams!$A:$A,0))</f>
        <v>Rajasthan Royals</v>
      </c>
      <c r="R680" t="str">
        <f>INDEX(Teams!$B:$B,MATCH(G680,Teams!$A:$A,0))</f>
        <v>Chennai Super Kings</v>
      </c>
      <c r="S680" t="str">
        <f>IF(K680="","No result",INDEX(Teams!$B:$B,MATCH(K680,Teams!$A:$A,0)))</f>
        <v>Rajasthan Royals</v>
      </c>
      <c r="T680" t="str">
        <f>INDEX(Venues!$B:$B,MATCH(O680,Venues!$A:$A,0))</f>
        <v>Sawai Mansingh Stadium</v>
      </c>
      <c r="U680" t="str">
        <f>INDEX(Venues!$C:$C,MATCH(O680,Venues!$A:$A,0))</f>
        <v>Jaipur</v>
      </c>
      <c r="V680" t="str">
        <f>IF(L680&gt;0,L680&amp;" runs",IF(M680&gt;0,M680&amp;" wickets","-"))</f>
        <v>4 wickets</v>
      </c>
      <c r="W680">
        <f>IF(G680=K680,1,0)</f>
        <v>0</v>
      </c>
      <c r="X680">
        <f>IF(L680&gt;0,L680,"")</f>
        <v/>
      </c>
      <c r="Y680">
        <f>IF(X680="","",IF(X680&gt;Stats!$B$15,"Outlier",""))</f>
        <v/>
      </c>
      <c r="Z680" t="str">
        <f>P680&amp;" vs "&amp;Q680</f>
        <v>Chennai Super Kings vs Rajasthan Royals</v>
      </c>
    </row>
    <row r="681" spans="1:26" x14ac:dyDescent="0.25">
      <c r="A681">
        <v>7937</v>
      </c>
      <c r="B681">
        <v>2018</v>
      </c>
      <c r="C681" s="5">
        <v>43232</v>
      </c>
      <c r="D681" t="s">
        <v>172</v>
      </c>
      <c r="E681" t="s">
        <v>32</v>
      </c>
      <c r="F681" t="s">
        <v>26</v>
      </c>
      <c r="G681" t="s">
        <v>26</v>
      </c>
      <c r="H681" t="s">
        <v>173</v>
      </c>
      <c r="I681" t="s">
        <v>174</v>
      </c>
      <c r="J681">
        <v>0</v>
      </c>
      <c r="K681" t="s">
        <v>32</v>
      </c>
      <c r="L681">
        <v>31</v>
      </c>
      <c r="M681">
        <v>0</v>
      </c>
      <c r="N681" t="s">
        <v>306</v>
      </c>
      <c r="O681" t="s">
        <v>83</v>
      </c>
      <c r="P681" t="str">
        <f>INDEX(Teams!$B:$B,MATCH(E681,Teams!$A:$A,0))</f>
        <v>Kolkata Knight Riders</v>
      </c>
      <c r="Q681" t="str">
        <f>INDEX(Teams!$B:$B,MATCH(F681,Teams!$A:$A,0))</f>
        <v>Kings XI Punjab</v>
      </c>
      <c r="R681" t="str">
        <f>INDEX(Teams!$B:$B,MATCH(G681,Teams!$A:$A,0))</f>
        <v>Kings XI Punjab</v>
      </c>
      <c r="S681" t="str">
        <f>IF(K681="","No result",INDEX(Teams!$B:$B,MATCH(K681,Teams!$A:$A,0)))</f>
        <v>Kolkata Knight Riders</v>
      </c>
      <c r="T681" t="str">
        <f>INDEX(Venues!$B:$B,MATCH(O681,Venues!$A:$A,0))</f>
        <v>Holkar Cricket Stadium</v>
      </c>
      <c r="U681" t="str">
        <f>INDEX(Venues!$C:$C,MATCH(O681,Venues!$A:$A,0))</f>
        <v>Indore</v>
      </c>
      <c r="V681" t="str">
        <f>IF(L681&gt;0,L681&amp;" runs",IF(M681&gt;0,M681&amp;" wickets","-"))</f>
        <v>31 runs</v>
      </c>
      <c r="W681">
        <f>IF(G681=K681,1,0)</f>
        <v>0</v>
      </c>
      <c r="X681">
        <f>IF(L681&gt;0,L681,"")</f>
        <v>31</v>
      </c>
      <c r="Y681">
        <f>IF(X681="","",IF(X681&gt;Stats!$B$15,"Outlier",""))</f>
        <v/>
      </c>
      <c r="Z681" t="str">
        <f>P681&amp;" vs "&amp;Q681</f>
        <v>Kolkata Knight Riders vs Kings XI Punjab</v>
      </c>
    </row>
    <row r="682" spans="1:26" x14ac:dyDescent="0.25">
      <c r="A682">
        <v>7938</v>
      </c>
      <c r="B682">
        <v>2018</v>
      </c>
      <c r="C682" s="5">
        <v>43232</v>
      </c>
      <c r="D682" t="s">
        <v>172</v>
      </c>
      <c r="E682" t="s">
        <v>20</v>
      </c>
      <c r="F682" t="s">
        <v>46</v>
      </c>
      <c r="G682" t="s">
        <v>46</v>
      </c>
      <c r="H682" t="s">
        <v>173</v>
      </c>
      <c r="I682" t="s">
        <v>174</v>
      </c>
      <c r="J682">
        <v>0</v>
      </c>
      <c r="K682" t="s">
        <v>46</v>
      </c>
      <c r="L682">
        <v>0</v>
      </c>
      <c r="M682">
        <v>5</v>
      </c>
      <c r="N682" t="s">
        <v>223</v>
      </c>
      <c r="O682" t="s">
        <v>75</v>
      </c>
      <c r="P682" t="str">
        <f>INDEX(Teams!$B:$B,MATCH(E682,Teams!$A:$A,0))</f>
        <v>Delhi Capitals</v>
      </c>
      <c r="Q682" t="str">
        <f>INDEX(Teams!$B:$B,MATCH(F682,Teams!$A:$A,0))</f>
        <v>Royal Challengers Bangalore</v>
      </c>
      <c r="R682" t="str">
        <f>INDEX(Teams!$B:$B,MATCH(G682,Teams!$A:$A,0))</f>
        <v>Royal Challengers Bangalore</v>
      </c>
      <c r="S682" t="str">
        <f>IF(K682="","No result",INDEX(Teams!$B:$B,MATCH(K682,Teams!$A:$A,0)))</f>
        <v>Royal Challengers Bangalore</v>
      </c>
      <c r="T682" t="str">
        <f>INDEX(Venues!$B:$B,MATCH(O682,Venues!$A:$A,0))</f>
        <v>Feroz Shah Kotla</v>
      </c>
      <c r="U682" t="str">
        <f>INDEX(Venues!$C:$C,MATCH(O682,Venues!$A:$A,0))</f>
        <v>Delhi</v>
      </c>
      <c r="V682" t="str">
        <f>IF(L682&gt;0,L682&amp;" runs",IF(M682&gt;0,M682&amp;" wickets","-"))</f>
        <v>5 wickets</v>
      </c>
      <c r="W682">
        <f>IF(G682=K682,1,0)</f>
        <v>1</v>
      </c>
      <c r="X682">
        <f>IF(L682&gt;0,L682,"")</f>
        <v/>
      </c>
      <c r="Y682">
        <f>IF(X682="","",IF(X682&gt;Stats!$B$15,"Outlier",""))</f>
        <v/>
      </c>
      <c r="Z682" t="str">
        <f>P682&amp;" vs "&amp;Q682</f>
        <v>Delhi Capitals vs Royal Challengers Bangalore</v>
      </c>
    </row>
    <row r="683" spans="1:26" x14ac:dyDescent="0.25">
      <c r="A683">
        <v>7939</v>
      </c>
      <c r="B683">
        <v>2018</v>
      </c>
      <c r="C683" s="5">
        <v>43233</v>
      </c>
      <c r="D683" t="s">
        <v>172</v>
      </c>
      <c r="E683" t="s">
        <v>49</v>
      </c>
      <c r="F683" t="s">
        <v>12</v>
      </c>
      <c r="G683" t="s">
        <v>12</v>
      </c>
      <c r="H683" t="s">
        <v>173</v>
      </c>
      <c r="I683" t="s">
        <v>174</v>
      </c>
      <c r="J683">
        <v>0</v>
      </c>
      <c r="K683" t="s">
        <v>12</v>
      </c>
      <c r="L683">
        <v>0</v>
      </c>
      <c r="M683">
        <v>8</v>
      </c>
      <c r="N683" t="s">
        <v>261</v>
      </c>
      <c r="O683" t="s">
        <v>96</v>
      </c>
      <c r="P683" t="str">
        <f>INDEX(Teams!$B:$B,MATCH(E683,Teams!$A:$A,0))</f>
        <v>Sunrisers Hyderabad</v>
      </c>
      <c r="Q683" t="str">
        <f>INDEX(Teams!$B:$B,MATCH(F683,Teams!$A:$A,0))</f>
        <v>Chennai Super Kings</v>
      </c>
      <c r="R683" t="str">
        <f>INDEX(Teams!$B:$B,MATCH(G683,Teams!$A:$A,0))</f>
        <v>Chennai Super Kings</v>
      </c>
      <c r="S683" t="str">
        <f>IF(K683="","No result",INDEX(Teams!$B:$B,MATCH(K683,Teams!$A:$A,0)))</f>
        <v>Chennai Super Kings</v>
      </c>
      <c r="T683" t="str">
        <f>INDEX(Venues!$B:$B,MATCH(O683,Venues!$A:$A,0))</f>
        <v>Maharashtra Cricket Association Stadium</v>
      </c>
      <c r="U683" t="str">
        <f>INDEX(Venues!$C:$C,MATCH(O683,Venues!$A:$A,0))</f>
        <v>Pune</v>
      </c>
      <c r="V683" t="str">
        <f>IF(L683&gt;0,L683&amp;" runs",IF(M683&gt;0,M683&amp;" wickets","-"))</f>
        <v>8 wickets</v>
      </c>
      <c r="W683">
        <f>IF(G683=K683,1,0)</f>
        <v>1</v>
      </c>
      <c r="X683">
        <f>IF(L683&gt;0,L683,"")</f>
        <v/>
      </c>
      <c r="Y683">
        <f>IF(X683="","",IF(X683&gt;Stats!$B$15,"Outlier",""))</f>
        <v/>
      </c>
      <c r="Z683" t="str">
        <f>P683&amp;" vs "&amp;Q683</f>
        <v>Sunrisers Hyderabad vs Chennai Super Kings</v>
      </c>
    </row>
    <row r="684" spans="1:26" x14ac:dyDescent="0.25">
      <c r="A684">
        <v>7940</v>
      </c>
      <c r="B684">
        <v>2018</v>
      </c>
      <c r="C684" s="5">
        <v>43233</v>
      </c>
      <c r="D684" t="s">
        <v>172</v>
      </c>
      <c r="E684" t="s">
        <v>35</v>
      </c>
      <c r="F684" t="s">
        <v>41</v>
      </c>
      <c r="G684" t="s">
        <v>41</v>
      </c>
      <c r="H684" t="s">
        <v>173</v>
      </c>
      <c r="I684" t="s">
        <v>174</v>
      </c>
      <c r="J684">
        <v>0</v>
      </c>
      <c r="K684" t="s">
        <v>41</v>
      </c>
      <c r="L684">
        <v>0</v>
      </c>
      <c r="M684">
        <v>7</v>
      </c>
      <c r="N684" t="s">
        <v>373</v>
      </c>
      <c r="O684" t="s">
        <v>138</v>
      </c>
      <c r="P684" t="str">
        <f>INDEX(Teams!$B:$B,MATCH(E684,Teams!$A:$A,0))</f>
        <v>Mumbai Indians</v>
      </c>
      <c r="Q684" t="str">
        <f>INDEX(Teams!$B:$B,MATCH(F684,Teams!$A:$A,0))</f>
        <v>Rajasthan Royals</v>
      </c>
      <c r="R684" t="str">
        <f>INDEX(Teams!$B:$B,MATCH(G684,Teams!$A:$A,0))</f>
        <v>Rajasthan Royals</v>
      </c>
      <c r="S684" t="str">
        <f>IF(K684="","No result",INDEX(Teams!$B:$B,MATCH(K684,Teams!$A:$A,0)))</f>
        <v>Rajasthan Royals</v>
      </c>
      <c r="T684" t="str">
        <f>INDEX(Venues!$B:$B,MATCH(O684,Venues!$A:$A,0))</f>
        <v>Wankhede Stadium</v>
      </c>
      <c r="U684" t="str">
        <f>INDEX(Venues!$C:$C,MATCH(O684,Venues!$A:$A,0))</f>
        <v>Mumbai</v>
      </c>
      <c r="V684" t="str">
        <f>IF(L684&gt;0,L684&amp;" runs",IF(M684&gt;0,M684&amp;" wickets","-"))</f>
        <v>7 wickets</v>
      </c>
      <c r="W684">
        <f>IF(G684=K684,1,0)</f>
        <v>1</v>
      </c>
      <c r="X684">
        <f>IF(L684&gt;0,L684,"")</f>
        <v/>
      </c>
      <c r="Y684">
        <f>IF(X684="","",IF(X684&gt;Stats!$B$15,"Outlier",""))</f>
        <v/>
      </c>
      <c r="Z684" t="str">
        <f>P684&amp;" vs "&amp;Q684</f>
        <v>Mumbai Indians vs Rajasthan Royals</v>
      </c>
    </row>
    <row r="685" spans="1:26" x14ac:dyDescent="0.25">
      <c r="A685">
        <v>7941</v>
      </c>
      <c r="B685">
        <v>2018</v>
      </c>
      <c r="C685" s="5">
        <v>43234</v>
      </c>
      <c r="D685" t="s">
        <v>172</v>
      </c>
      <c r="E685" t="s">
        <v>26</v>
      </c>
      <c r="F685" t="s">
        <v>46</v>
      </c>
      <c r="G685" t="s">
        <v>46</v>
      </c>
      <c r="H685" t="s">
        <v>173</v>
      </c>
      <c r="I685" t="s">
        <v>174</v>
      </c>
      <c r="J685">
        <v>0</v>
      </c>
      <c r="K685" t="s">
        <v>46</v>
      </c>
      <c r="L685">
        <v>0</v>
      </c>
      <c r="M685">
        <v>10</v>
      </c>
      <c r="N685" t="s">
        <v>315</v>
      </c>
      <c r="O685" t="s">
        <v>83</v>
      </c>
      <c r="P685" t="str">
        <f>INDEX(Teams!$B:$B,MATCH(E685,Teams!$A:$A,0))</f>
        <v>Kings XI Punjab</v>
      </c>
      <c r="Q685" t="str">
        <f>INDEX(Teams!$B:$B,MATCH(F685,Teams!$A:$A,0))</f>
        <v>Royal Challengers Bangalore</v>
      </c>
      <c r="R685" t="str">
        <f>INDEX(Teams!$B:$B,MATCH(G685,Teams!$A:$A,0))</f>
        <v>Royal Challengers Bangalore</v>
      </c>
      <c r="S685" t="str">
        <f>IF(K685="","No result",INDEX(Teams!$B:$B,MATCH(K685,Teams!$A:$A,0)))</f>
        <v>Royal Challengers Bangalore</v>
      </c>
      <c r="T685" t="str">
        <f>INDEX(Venues!$B:$B,MATCH(O685,Venues!$A:$A,0))</f>
        <v>Holkar Cricket Stadium</v>
      </c>
      <c r="U685" t="str">
        <f>INDEX(Venues!$C:$C,MATCH(O685,Venues!$A:$A,0))</f>
        <v>Indore</v>
      </c>
      <c r="V685" t="str">
        <f>IF(L685&gt;0,L685&amp;" runs",IF(M685&gt;0,M685&amp;" wickets","-"))</f>
        <v>10 wickets</v>
      </c>
      <c r="W685">
        <f>IF(G685=K685,1,0)</f>
        <v>1</v>
      </c>
      <c r="X685">
        <f>IF(L685&gt;0,L685,"")</f>
        <v/>
      </c>
      <c r="Y685">
        <f>IF(X685="","",IF(X685&gt;Stats!$B$15,"Outlier",""))</f>
        <v/>
      </c>
      <c r="Z685" t="str">
        <f>P685&amp;" vs "&amp;Q685</f>
        <v>Kings XI Punjab vs Royal Challengers Bangalore</v>
      </c>
    </row>
    <row r="686" spans="1:26" x14ac:dyDescent="0.25">
      <c r="A686">
        <v>7942</v>
      </c>
      <c r="B686">
        <v>2018</v>
      </c>
      <c r="C686" s="5">
        <v>43235</v>
      </c>
      <c r="D686" t="s">
        <v>172</v>
      </c>
      <c r="E686" t="s">
        <v>41</v>
      </c>
      <c r="F686" t="s">
        <v>32</v>
      </c>
      <c r="G686" t="s">
        <v>32</v>
      </c>
      <c r="H686" t="s">
        <v>173</v>
      </c>
      <c r="I686" t="s">
        <v>174</v>
      </c>
      <c r="J686">
        <v>0</v>
      </c>
      <c r="K686" t="s">
        <v>32</v>
      </c>
      <c r="L686">
        <v>0</v>
      </c>
      <c r="M686">
        <v>6</v>
      </c>
      <c r="N686" t="s">
        <v>391</v>
      </c>
      <c r="O686" t="s">
        <v>73</v>
      </c>
      <c r="P686" t="str">
        <f>INDEX(Teams!$B:$B,MATCH(E686,Teams!$A:$A,0))</f>
        <v>Rajasthan Royals</v>
      </c>
      <c r="Q686" t="str">
        <f>INDEX(Teams!$B:$B,MATCH(F686,Teams!$A:$A,0))</f>
        <v>Kolkata Knight Riders</v>
      </c>
      <c r="R686" t="str">
        <f>INDEX(Teams!$B:$B,MATCH(G686,Teams!$A:$A,0))</f>
        <v>Kolkata Knight Riders</v>
      </c>
      <c r="S686" t="str">
        <f>IF(K686="","No result",INDEX(Teams!$B:$B,MATCH(K686,Teams!$A:$A,0)))</f>
        <v>Kolkata Knight Riders</v>
      </c>
      <c r="T686" t="str">
        <f>INDEX(Venues!$B:$B,MATCH(O686,Venues!$A:$A,0))</f>
        <v>Eden Gardens</v>
      </c>
      <c r="U686" t="str">
        <f>INDEX(Venues!$C:$C,MATCH(O686,Venues!$A:$A,0))</f>
        <v>Kolkata</v>
      </c>
      <c r="V686" t="str">
        <f>IF(L686&gt;0,L686&amp;" runs",IF(M686&gt;0,M686&amp;" wickets","-"))</f>
        <v>6 wickets</v>
      </c>
      <c r="W686">
        <f>IF(G686=K686,1,0)</f>
        <v>1</v>
      </c>
      <c r="X686">
        <f>IF(L686&gt;0,L686,"")</f>
        <v/>
      </c>
      <c r="Y686">
        <f>IF(X686="","",IF(X686&gt;Stats!$B$15,"Outlier",""))</f>
        <v/>
      </c>
      <c r="Z686" t="str">
        <f>P686&amp;" vs "&amp;Q686</f>
        <v>Rajasthan Royals vs Kolkata Knight Riders</v>
      </c>
    </row>
    <row r="687" spans="1:26" x14ac:dyDescent="0.25">
      <c r="A687">
        <v>7943</v>
      </c>
      <c r="B687">
        <v>2018</v>
      </c>
      <c r="C687" s="5">
        <v>43236</v>
      </c>
      <c r="D687" t="s">
        <v>172</v>
      </c>
      <c r="E687" t="s">
        <v>35</v>
      </c>
      <c r="F687" t="s">
        <v>26</v>
      </c>
      <c r="G687" t="s">
        <v>26</v>
      </c>
      <c r="H687" t="s">
        <v>173</v>
      </c>
      <c r="I687" t="s">
        <v>174</v>
      </c>
      <c r="J687">
        <v>0</v>
      </c>
      <c r="K687" t="s">
        <v>35</v>
      </c>
      <c r="L687">
        <v>3</v>
      </c>
      <c r="M687">
        <v>0</v>
      </c>
      <c r="N687" t="s">
        <v>369</v>
      </c>
      <c r="O687" t="s">
        <v>138</v>
      </c>
      <c r="P687" t="str">
        <f>INDEX(Teams!$B:$B,MATCH(E687,Teams!$A:$A,0))</f>
        <v>Mumbai Indians</v>
      </c>
      <c r="Q687" t="str">
        <f>INDEX(Teams!$B:$B,MATCH(F687,Teams!$A:$A,0))</f>
        <v>Kings XI Punjab</v>
      </c>
      <c r="R687" t="str">
        <f>INDEX(Teams!$B:$B,MATCH(G687,Teams!$A:$A,0))</f>
        <v>Kings XI Punjab</v>
      </c>
      <c r="S687" t="str">
        <f>IF(K687="","No result",INDEX(Teams!$B:$B,MATCH(K687,Teams!$A:$A,0)))</f>
        <v>Mumbai Indians</v>
      </c>
      <c r="T687" t="str">
        <f>INDEX(Venues!$B:$B,MATCH(O687,Venues!$A:$A,0))</f>
        <v>Wankhede Stadium</v>
      </c>
      <c r="U687" t="str">
        <f>INDEX(Venues!$C:$C,MATCH(O687,Venues!$A:$A,0))</f>
        <v>Mumbai</v>
      </c>
      <c r="V687" t="str">
        <f>IF(L687&gt;0,L687&amp;" runs",IF(M687&gt;0,M687&amp;" wickets","-"))</f>
        <v>3 runs</v>
      </c>
      <c r="W687">
        <f>IF(G687=K687,1,0)</f>
        <v>0</v>
      </c>
      <c r="X687">
        <f>IF(L687&gt;0,L687,"")</f>
        <v>3</v>
      </c>
      <c r="Y687">
        <f>IF(X687="","",IF(X687&gt;Stats!$B$15,"Outlier",""))</f>
        <v/>
      </c>
      <c r="Z687" t="str">
        <f>P687&amp;" vs "&amp;Q687</f>
        <v>Mumbai Indians vs Kings XI Punjab</v>
      </c>
    </row>
    <row r="688" spans="1:26" x14ac:dyDescent="0.25">
      <c r="A688">
        <v>7944</v>
      </c>
      <c r="B688">
        <v>2018</v>
      </c>
      <c r="C688" s="5">
        <v>43237</v>
      </c>
      <c r="D688" t="s">
        <v>172</v>
      </c>
      <c r="E688" t="s">
        <v>46</v>
      </c>
      <c r="F688" t="s">
        <v>49</v>
      </c>
      <c r="G688" t="s">
        <v>49</v>
      </c>
      <c r="H688" t="s">
        <v>173</v>
      </c>
      <c r="I688" t="s">
        <v>174</v>
      </c>
      <c r="J688">
        <v>0</v>
      </c>
      <c r="K688" t="s">
        <v>46</v>
      </c>
      <c r="L688">
        <v>14</v>
      </c>
      <c r="M688">
        <v>0</v>
      </c>
      <c r="N688" t="s">
        <v>223</v>
      </c>
      <c r="O688" t="s">
        <v>92</v>
      </c>
      <c r="P688" t="str">
        <f>INDEX(Teams!$B:$B,MATCH(E688,Teams!$A:$A,0))</f>
        <v>Royal Challengers Bangalore</v>
      </c>
      <c r="Q688" t="str">
        <f>INDEX(Teams!$B:$B,MATCH(F688,Teams!$A:$A,0))</f>
        <v>Sunrisers Hyderabad</v>
      </c>
      <c r="R688" t="str">
        <f>INDEX(Teams!$B:$B,MATCH(G688,Teams!$A:$A,0))</f>
        <v>Sunrisers Hyderabad</v>
      </c>
      <c r="S688" t="str">
        <f>IF(K688="","No result",INDEX(Teams!$B:$B,MATCH(K688,Teams!$A:$A,0)))</f>
        <v>Royal Challengers Bangalore</v>
      </c>
      <c r="T688" t="str">
        <f>INDEX(Venues!$B:$B,MATCH(O688,Venues!$A:$A,0))</f>
        <v>M Chinnaswamy Stadium</v>
      </c>
      <c r="U688" t="str">
        <f>INDEX(Venues!$C:$C,MATCH(O688,Venues!$A:$A,0))</f>
        <v>Bangalore</v>
      </c>
      <c r="V688" t="str">
        <f>IF(L688&gt;0,L688&amp;" runs",IF(M688&gt;0,M688&amp;" wickets","-"))</f>
        <v>14 runs</v>
      </c>
      <c r="W688">
        <f>IF(G688=K688,1,0)</f>
        <v>0</v>
      </c>
      <c r="X688">
        <f>IF(L688&gt;0,L688,"")</f>
        <v>14</v>
      </c>
      <c r="Y688">
        <f>IF(X688="","",IF(X688&gt;Stats!$B$15,"Outlier",""))</f>
        <v/>
      </c>
      <c r="Z688" t="str">
        <f>P688&amp;" vs "&amp;Q688</f>
        <v>Royal Challengers Bangalore vs Sunrisers Hyderabad</v>
      </c>
    </row>
    <row r="689" spans="1:26" x14ac:dyDescent="0.25">
      <c r="A689">
        <v>7945</v>
      </c>
      <c r="B689">
        <v>2018</v>
      </c>
      <c r="C689" s="5">
        <v>43238</v>
      </c>
      <c r="D689" t="s">
        <v>172</v>
      </c>
      <c r="E689" t="s">
        <v>20</v>
      </c>
      <c r="F689" t="s">
        <v>12</v>
      </c>
      <c r="G689" t="s">
        <v>12</v>
      </c>
      <c r="H689" t="s">
        <v>173</v>
      </c>
      <c r="I689" t="s">
        <v>174</v>
      </c>
      <c r="J689">
        <v>0</v>
      </c>
      <c r="K689" t="s">
        <v>20</v>
      </c>
      <c r="L689">
        <v>34</v>
      </c>
      <c r="M689">
        <v>0</v>
      </c>
      <c r="N689" t="s">
        <v>378</v>
      </c>
      <c r="O689" t="s">
        <v>75</v>
      </c>
      <c r="P689" t="str">
        <f>INDEX(Teams!$B:$B,MATCH(E689,Teams!$A:$A,0))</f>
        <v>Delhi Capitals</v>
      </c>
      <c r="Q689" t="str">
        <f>INDEX(Teams!$B:$B,MATCH(F689,Teams!$A:$A,0))</f>
        <v>Chennai Super Kings</v>
      </c>
      <c r="R689" t="str">
        <f>INDEX(Teams!$B:$B,MATCH(G689,Teams!$A:$A,0))</f>
        <v>Chennai Super Kings</v>
      </c>
      <c r="S689" t="str">
        <f>IF(K689="","No result",INDEX(Teams!$B:$B,MATCH(K689,Teams!$A:$A,0)))</f>
        <v>Delhi Capitals</v>
      </c>
      <c r="T689" t="str">
        <f>INDEX(Venues!$B:$B,MATCH(O689,Venues!$A:$A,0))</f>
        <v>Feroz Shah Kotla</v>
      </c>
      <c r="U689" t="str">
        <f>INDEX(Venues!$C:$C,MATCH(O689,Venues!$A:$A,0))</f>
        <v>Delhi</v>
      </c>
      <c r="V689" t="str">
        <f>IF(L689&gt;0,L689&amp;" runs",IF(M689&gt;0,M689&amp;" wickets","-"))</f>
        <v>34 runs</v>
      </c>
      <c r="W689">
        <f>IF(G689=K689,1,0)</f>
        <v>0</v>
      </c>
      <c r="X689">
        <f>IF(L689&gt;0,L689,"")</f>
        <v>34</v>
      </c>
      <c r="Y689">
        <f>IF(X689="","",IF(X689&gt;Stats!$B$15,"Outlier",""))</f>
        <v/>
      </c>
      <c r="Z689" t="str">
        <f>P689&amp;" vs "&amp;Q689</f>
        <v>Delhi Capitals vs Chennai Super Kings</v>
      </c>
    </row>
    <row r="690" spans="1:26" x14ac:dyDescent="0.25">
      <c r="A690">
        <v>7946</v>
      </c>
      <c r="B690">
        <v>2018</v>
      </c>
      <c r="C690" s="5">
        <v>43239</v>
      </c>
      <c r="D690" t="s">
        <v>172</v>
      </c>
      <c r="E690" t="s">
        <v>41</v>
      </c>
      <c r="F690" t="s">
        <v>46</v>
      </c>
      <c r="G690" t="s">
        <v>41</v>
      </c>
      <c r="H690" t="s">
        <v>176</v>
      </c>
      <c r="I690" t="s">
        <v>174</v>
      </c>
      <c r="J690">
        <v>0</v>
      </c>
      <c r="K690" t="s">
        <v>41</v>
      </c>
      <c r="L690">
        <v>30</v>
      </c>
      <c r="M690">
        <v>0</v>
      </c>
      <c r="N690" t="s">
        <v>392</v>
      </c>
      <c r="O690" t="s">
        <v>118</v>
      </c>
      <c r="P690" t="str">
        <f>INDEX(Teams!$B:$B,MATCH(E690,Teams!$A:$A,0))</f>
        <v>Rajasthan Royals</v>
      </c>
      <c r="Q690" t="str">
        <f>INDEX(Teams!$B:$B,MATCH(F690,Teams!$A:$A,0))</f>
        <v>Royal Challengers Bangalore</v>
      </c>
      <c r="R690" t="str">
        <f>INDEX(Teams!$B:$B,MATCH(G690,Teams!$A:$A,0))</f>
        <v>Rajasthan Royals</v>
      </c>
      <c r="S690" t="str">
        <f>IF(K690="","No result",INDEX(Teams!$B:$B,MATCH(K690,Teams!$A:$A,0)))</f>
        <v>Rajasthan Royals</v>
      </c>
      <c r="T690" t="str">
        <f>INDEX(Venues!$B:$B,MATCH(O690,Venues!$A:$A,0))</f>
        <v>Sawai Mansingh Stadium</v>
      </c>
      <c r="U690" t="str">
        <f>INDEX(Venues!$C:$C,MATCH(O690,Venues!$A:$A,0))</f>
        <v>Jaipur</v>
      </c>
      <c r="V690" t="str">
        <f>IF(L690&gt;0,L690&amp;" runs",IF(M690&gt;0,M690&amp;" wickets","-"))</f>
        <v>30 runs</v>
      </c>
      <c r="W690">
        <f>IF(G690=K690,1,0)</f>
        <v>1</v>
      </c>
      <c r="X690">
        <f>IF(L690&gt;0,L690,"")</f>
        <v>30</v>
      </c>
      <c r="Y690">
        <f>IF(X690="","",IF(X690&gt;Stats!$B$15,"Outlier",""))</f>
        <v/>
      </c>
      <c r="Z690" t="str">
        <f>P690&amp;" vs "&amp;Q690</f>
        <v>Rajasthan Royals vs Royal Challengers Bangalore</v>
      </c>
    </row>
    <row r="691" spans="1:26" x14ac:dyDescent="0.25">
      <c r="A691">
        <v>7947</v>
      </c>
      <c r="B691">
        <v>2018</v>
      </c>
      <c r="C691" s="5">
        <v>43239</v>
      </c>
      <c r="D691" t="s">
        <v>172</v>
      </c>
      <c r="E691" t="s">
        <v>49</v>
      </c>
      <c r="F691" t="s">
        <v>32</v>
      </c>
      <c r="G691" t="s">
        <v>49</v>
      </c>
      <c r="H691" t="s">
        <v>176</v>
      </c>
      <c r="I691" t="s">
        <v>174</v>
      </c>
      <c r="J691">
        <v>0</v>
      </c>
      <c r="K691" t="s">
        <v>32</v>
      </c>
      <c r="L691">
        <v>0</v>
      </c>
      <c r="M691">
        <v>5</v>
      </c>
      <c r="N691" t="s">
        <v>332</v>
      </c>
      <c r="O691" t="s">
        <v>111</v>
      </c>
      <c r="P691" t="str">
        <f>INDEX(Teams!$B:$B,MATCH(E691,Teams!$A:$A,0))</f>
        <v>Sunrisers Hyderabad</v>
      </c>
      <c r="Q691" t="str">
        <f>INDEX(Teams!$B:$B,MATCH(F691,Teams!$A:$A,0))</f>
        <v>Kolkata Knight Riders</v>
      </c>
      <c r="R691" t="str">
        <f>INDEX(Teams!$B:$B,MATCH(G691,Teams!$A:$A,0))</f>
        <v>Sunrisers Hyderabad</v>
      </c>
      <c r="S691" t="str">
        <f>IF(K691="","No result",INDEX(Teams!$B:$B,MATCH(K691,Teams!$A:$A,0)))</f>
        <v>Kolkata Knight Riders</v>
      </c>
      <c r="T691" t="str">
        <f>INDEX(Venues!$B:$B,MATCH(O691,Venues!$A:$A,0))</f>
        <v>Rajiv Gandhi International Stadium</v>
      </c>
      <c r="U691" t="str">
        <f>INDEX(Venues!$C:$C,MATCH(O691,Venues!$A:$A,0))</f>
        <v>Hyderabad</v>
      </c>
      <c r="V691" t="str">
        <f>IF(L691&gt;0,L691&amp;" runs",IF(M691&gt;0,M691&amp;" wickets","-"))</f>
        <v>5 wickets</v>
      </c>
      <c r="W691">
        <f>IF(G691=K691,1,0)</f>
        <v>0</v>
      </c>
      <c r="X691">
        <f>IF(L691&gt;0,L691,"")</f>
        <v/>
      </c>
      <c r="Y691">
        <f>IF(X691="","",IF(X691&gt;Stats!$B$15,"Outlier",""))</f>
        <v/>
      </c>
      <c r="Z691" t="str">
        <f>P691&amp;" vs "&amp;Q691</f>
        <v>Sunrisers Hyderabad vs Kolkata Knight Riders</v>
      </c>
    </row>
    <row r="692" spans="1:26" x14ac:dyDescent="0.25">
      <c r="A692">
        <v>7948</v>
      </c>
      <c r="B692">
        <v>2018</v>
      </c>
      <c r="C692" s="5">
        <v>43240</v>
      </c>
      <c r="D692" t="s">
        <v>172</v>
      </c>
      <c r="E692" t="s">
        <v>20</v>
      </c>
      <c r="F692" t="s">
        <v>35</v>
      </c>
      <c r="G692" t="s">
        <v>20</v>
      </c>
      <c r="H692" t="s">
        <v>176</v>
      </c>
      <c r="I692" t="s">
        <v>174</v>
      </c>
      <c r="J692">
        <v>0</v>
      </c>
      <c r="K692" t="s">
        <v>20</v>
      </c>
      <c r="L692">
        <v>11</v>
      </c>
      <c r="M692">
        <v>0</v>
      </c>
      <c r="N692" t="s">
        <v>203</v>
      </c>
      <c r="O692" t="s">
        <v>75</v>
      </c>
      <c r="P692" t="str">
        <f>INDEX(Teams!$B:$B,MATCH(E692,Teams!$A:$A,0))</f>
        <v>Delhi Capitals</v>
      </c>
      <c r="Q692" t="str">
        <f>INDEX(Teams!$B:$B,MATCH(F692,Teams!$A:$A,0))</f>
        <v>Mumbai Indians</v>
      </c>
      <c r="R692" t="str">
        <f>INDEX(Teams!$B:$B,MATCH(G692,Teams!$A:$A,0))</f>
        <v>Delhi Capitals</v>
      </c>
      <c r="S692" t="str">
        <f>IF(K692="","No result",INDEX(Teams!$B:$B,MATCH(K692,Teams!$A:$A,0)))</f>
        <v>Delhi Capitals</v>
      </c>
      <c r="T692" t="str">
        <f>INDEX(Venues!$B:$B,MATCH(O692,Venues!$A:$A,0))</f>
        <v>Feroz Shah Kotla</v>
      </c>
      <c r="U692" t="str">
        <f>INDEX(Venues!$C:$C,MATCH(O692,Venues!$A:$A,0))</f>
        <v>Delhi</v>
      </c>
      <c r="V692" t="str">
        <f>IF(L692&gt;0,L692&amp;" runs",IF(M692&gt;0,M692&amp;" wickets","-"))</f>
        <v>11 runs</v>
      </c>
      <c r="W692">
        <f>IF(G692=K692,1,0)</f>
        <v>1</v>
      </c>
      <c r="X692">
        <f>IF(L692&gt;0,L692,"")</f>
        <v>11</v>
      </c>
      <c r="Y692">
        <f>IF(X692="","",IF(X692&gt;Stats!$B$15,"Outlier",""))</f>
        <v/>
      </c>
      <c r="Z692" t="str">
        <f>P692&amp;" vs "&amp;Q692</f>
        <v>Delhi Capitals vs Mumbai Indians</v>
      </c>
    </row>
    <row r="693" spans="1:26" x14ac:dyDescent="0.25">
      <c r="A693">
        <v>7949</v>
      </c>
      <c r="B693">
        <v>2018</v>
      </c>
      <c r="C693" s="5">
        <v>43240</v>
      </c>
      <c r="D693" t="s">
        <v>172</v>
      </c>
      <c r="E693" t="s">
        <v>26</v>
      </c>
      <c r="F693" t="s">
        <v>12</v>
      </c>
      <c r="G693" t="s">
        <v>12</v>
      </c>
      <c r="H693" t="s">
        <v>173</v>
      </c>
      <c r="I693" t="s">
        <v>174</v>
      </c>
      <c r="J693">
        <v>0</v>
      </c>
      <c r="K693" t="s">
        <v>12</v>
      </c>
      <c r="L693">
        <v>0</v>
      </c>
      <c r="M693">
        <v>5</v>
      </c>
      <c r="N693" t="s">
        <v>393</v>
      </c>
      <c r="O693" t="s">
        <v>96</v>
      </c>
      <c r="P693" t="str">
        <f>INDEX(Teams!$B:$B,MATCH(E693,Teams!$A:$A,0))</f>
        <v>Kings XI Punjab</v>
      </c>
      <c r="Q693" t="str">
        <f>INDEX(Teams!$B:$B,MATCH(F693,Teams!$A:$A,0))</f>
        <v>Chennai Super Kings</v>
      </c>
      <c r="R693" t="str">
        <f>INDEX(Teams!$B:$B,MATCH(G693,Teams!$A:$A,0))</f>
        <v>Chennai Super Kings</v>
      </c>
      <c r="S693" t="str">
        <f>IF(K693="","No result",INDEX(Teams!$B:$B,MATCH(K693,Teams!$A:$A,0)))</f>
        <v>Chennai Super Kings</v>
      </c>
      <c r="T693" t="str">
        <f>INDEX(Venues!$B:$B,MATCH(O693,Venues!$A:$A,0))</f>
        <v>Maharashtra Cricket Association Stadium</v>
      </c>
      <c r="U693" t="str">
        <f>INDEX(Venues!$C:$C,MATCH(O693,Venues!$A:$A,0))</f>
        <v>Pune</v>
      </c>
      <c r="V693" t="str">
        <f>IF(L693&gt;0,L693&amp;" runs",IF(M693&gt;0,M693&amp;" wickets","-"))</f>
        <v>5 wickets</v>
      </c>
      <c r="W693">
        <f>IF(G693=K693,1,0)</f>
        <v>1</v>
      </c>
      <c r="X693">
        <f>IF(L693&gt;0,L693,"")</f>
        <v/>
      </c>
      <c r="Y693">
        <f>IF(X693="","",IF(X693&gt;Stats!$B$15,"Outlier",""))</f>
        <v/>
      </c>
      <c r="Z693" t="str">
        <f>P693&amp;" vs "&amp;Q693</f>
        <v>Kings XI Punjab vs Chennai Super Kings</v>
      </c>
    </row>
    <row r="694" spans="1:26" x14ac:dyDescent="0.25">
      <c r="A694">
        <v>7950</v>
      </c>
      <c r="B694">
        <v>2018</v>
      </c>
      <c r="C694" s="5">
        <v>43242</v>
      </c>
      <c r="D694" t="s">
        <v>172</v>
      </c>
      <c r="E694" t="s">
        <v>49</v>
      </c>
      <c r="F694" t="s">
        <v>12</v>
      </c>
      <c r="G694" t="s">
        <v>12</v>
      </c>
      <c r="H694" t="s">
        <v>173</v>
      </c>
      <c r="I694" t="s">
        <v>174</v>
      </c>
      <c r="J694">
        <v>0</v>
      </c>
      <c r="K694" t="s">
        <v>12</v>
      </c>
      <c r="L694">
        <v>0</v>
      </c>
      <c r="M694">
        <v>2</v>
      </c>
      <c r="N694" t="s">
        <v>302</v>
      </c>
      <c r="O694" t="s">
        <v>138</v>
      </c>
      <c r="P694" t="str">
        <f>INDEX(Teams!$B:$B,MATCH(E694,Teams!$A:$A,0))</f>
        <v>Sunrisers Hyderabad</v>
      </c>
      <c r="Q694" t="str">
        <f>INDEX(Teams!$B:$B,MATCH(F694,Teams!$A:$A,0))</f>
        <v>Chennai Super Kings</v>
      </c>
      <c r="R694" t="str">
        <f>INDEX(Teams!$B:$B,MATCH(G694,Teams!$A:$A,0))</f>
        <v>Chennai Super Kings</v>
      </c>
      <c r="S694" t="str">
        <f>IF(K694="","No result",INDEX(Teams!$B:$B,MATCH(K694,Teams!$A:$A,0)))</f>
        <v>Chennai Super Kings</v>
      </c>
      <c r="T694" t="str">
        <f>INDEX(Venues!$B:$B,MATCH(O694,Venues!$A:$A,0))</f>
        <v>Wankhede Stadium</v>
      </c>
      <c r="U694" t="str">
        <f>INDEX(Venues!$C:$C,MATCH(O694,Venues!$A:$A,0))</f>
        <v>Mumbai</v>
      </c>
      <c r="V694" t="str">
        <f>IF(L694&gt;0,L694&amp;" runs",IF(M694&gt;0,M694&amp;" wickets","-"))</f>
        <v>2 wickets</v>
      </c>
      <c r="W694">
        <f>IF(G694=K694,1,0)</f>
        <v>1</v>
      </c>
      <c r="X694">
        <f>IF(L694&gt;0,L694,"")</f>
        <v/>
      </c>
      <c r="Y694">
        <f>IF(X694="","",IF(X694&gt;Stats!$B$15,"Outlier",""))</f>
        <v/>
      </c>
      <c r="Z694" t="str">
        <f>P694&amp;" vs "&amp;Q694</f>
        <v>Sunrisers Hyderabad vs Chennai Super Kings</v>
      </c>
    </row>
    <row r="695" spans="1:26" x14ac:dyDescent="0.25">
      <c r="A695">
        <v>7951</v>
      </c>
      <c r="B695">
        <v>2018</v>
      </c>
      <c r="C695" s="5">
        <v>43243</v>
      </c>
      <c r="D695" t="s">
        <v>172</v>
      </c>
      <c r="E695" t="s">
        <v>32</v>
      </c>
      <c r="F695" t="s">
        <v>41</v>
      </c>
      <c r="G695" t="s">
        <v>41</v>
      </c>
      <c r="H695" t="s">
        <v>173</v>
      </c>
      <c r="I695" t="s">
        <v>174</v>
      </c>
      <c r="J695">
        <v>0</v>
      </c>
      <c r="K695" t="s">
        <v>32</v>
      </c>
      <c r="L695">
        <v>25</v>
      </c>
      <c r="M695">
        <v>0</v>
      </c>
      <c r="N695" t="s">
        <v>344</v>
      </c>
      <c r="O695" t="s">
        <v>73</v>
      </c>
      <c r="P695" t="str">
        <f>INDEX(Teams!$B:$B,MATCH(E695,Teams!$A:$A,0))</f>
        <v>Kolkata Knight Riders</v>
      </c>
      <c r="Q695" t="str">
        <f>INDEX(Teams!$B:$B,MATCH(F695,Teams!$A:$A,0))</f>
        <v>Rajasthan Royals</v>
      </c>
      <c r="R695" t="str">
        <f>INDEX(Teams!$B:$B,MATCH(G695,Teams!$A:$A,0))</f>
        <v>Rajasthan Royals</v>
      </c>
      <c r="S695" t="str">
        <f>IF(K695="","No result",INDEX(Teams!$B:$B,MATCH(K695,Teams!$A:$A,0)))</f>
        <v>Kolkata Knight Riders</v>
      </c>
      <c r="T695" t="str">
        <f>INDEX(Venues!$B:$B,MATCH(O695,Venues!$A:$A,0))</f>
        <v>Eden Gardens</v>
      </c>
      <c r="U695" t="str">
        <f>INDEX(Venues!$C:$C,MATCH(O695,Venues!$A:$A,0))</f>
        <v>Kolkata</v>
      </c>
      <c r="V695" t="str">
        <f>IF(L695&gt;0,L695&amp;" runs",IF(M695&gt;0,M695&amp;" wickets","-"))</f>
        <v>25 runs</v>
      </c>
      <c r="W695">
        <f>IF(G695=K695,1,0)</f>
        <v>0</v>
      </c>
      <c r="X695">
        <f>IF(L695&gt;0,L695,"")</f>
        <v>25</v>
      </c>
      <c r="Y695">
        <f>IF(X695="","",IF(X695&gt;Stats!$B$15,"Outlier",""))</f>
        <v/>
      </c>
      <c r="Z695" t="str">
        <f>P695&amp;" vs "&amp;Q695</f>
        <v>Kolkata Knight Riders vs Rajasthan Royals</v>
      </c>
    </row>
    <row r="696" spans="1:26" x14ac:dyDescent="0.25">
      <c r="A696">
        <v>7952</v>
      </c>
      <c r="B696">
        <v>2018</v>
      </c>
      <c r="C696" s="5">
        <v>43245</v>
      </c>
      <c r="D696" t="s">
        <v>172</v>
      </c>
      <c r="E696" t="s">
        <v>49</v>
      </c>
      <c r="F696" t="s">
        <v>32</v>
      </c>
      <c r="G696" t="s">
        <v>32</v>
      </c>
      <c r="H696" t="s">
        <v>173</v>
      </c>
      <c r="I696" t="s">
        <v>174</v>
      </c>
      <c r="J696">
        <v>0</v>
      </c>
      <c r="K696" t="s">
        <v>49</v>
      </c>
      <c r="L696">
        <v>14</v>
      </c>
      <c r="M696">
        <v>0</v>
      </c>
      <c r="N696" t="s">
        <v>367</v>
      </c>
      <c r="O696" t="s">
        <v>73</v>
      </c>
      <c r="P696" t="str">
        <f>INDEX(Teams!$B:$B,MATCH(E696,Teams!$A:$A,0))</f>
        <v>Sunrisers Hyderabad</v>
      </c>
      <c r="Q696" t="str">
        <f>INDEX(Teams!$B:$B,MATCH(F696,Teams!$A:$A,0))</f>
        <v>Kolkata Knight Riders</v>
      </c>
      <c r="R696" t="str">
        <f>INDEX(Teams!$B:$B,MATCH(G696,Teams!$A:$A,0))</f>
        <v>Kolkata Knight Riders</v>
      </c>
      <c r="S696" t="str">
        <f>IF(K696="","No result",INDEX(Teams!$B:$B,MATCH(K696,Teams!$A:$A,0)))</f>
        <v>Sunrisers Hyderabad</v>
      </c>
      <c r="T696" t="str">
        <f>INDEX(Venues!$B:$B,MATCH(O696,Venues!$A:$A,0))</f>
        <v>Eden Gardens</v>
      </c>
      <c r="U696" t="str">
        <f>INDEX(Venues!$C:$C,MATCH(O696,Venues!$A:$A,0))</f>
        <v>Kolkata</v>
      </c>
      <c r="V696" t="str">
        <f>IF(L696&gt;0,L696&amp;" runs",IF(M696&gt;0,M696&amp;" wickets","-"))</f>
        <v>14 runs</v>
      </c>
      <c r="W696">
        <f>IF(G696=K696,1,0)</f>
        <v>0</v>
      </c>
      <c r="X696">
        <f>IF(L696&gt;0,L696,"")</f>
        <v>14</v>
      </c>
      <c r="Y696">
        <f>IF(X696="","",IF(X696&gt;Stats!$B$15,"Outlier",""))</f>
        <v/>
      </c>
      <c r="Z696" t="str">
        <f>P696&amp;" vs "&amp;Q696</f>
        <v>Sunrisers Hyderabad vs Kolkata Knight Riders</v>
      </c>
    </row>
    <row r="697" spans="1:26" x14ac:dyDescent="0.25">
      <c r="A697">
        <v>7953</v>
      </c>
      <c r="B697">
        <v>2018</v>
      </c>
      <c r="C697" s="5">
        <v>43247</v>
      </c>
      <c r="D697" t="s">
        <v>216</v>
      </c>
      <c r="E697" t="s">
        <v>49</v>
      </c>
      <c r="F697" t="s">
        <v>12</v>
      </c>
      <c r="G697" t="s">
        <v>12</v>
      </c>
      <c r="H697" t="s">
        <v>173</v>
      </c>
      <c r="I697" t="s">
        <v>174</v>
      </c>
      <c r="J697">
        <v>0</v>
      </c>
      <c r="K697" t="s">
        <v>12</v>
      </c>
      <c r="L697">
        <v>0</v>
      </c>
      <c r="M697">
        <v>8</v>
      </c>
      <c r="N697" t="s">
        <v>181</v>
      </c>
      <c r="O697" t="s">
        <v>138</v>
      </c>
      <c r="P697" t="str">
        <f>INDEX(Teams!$B:$B,MATCH(E697,Teams!$A:$A,0))</f>
        <v>Sunrisers Hyderabad</v>
      </c>
      <c r="Q697" t="str">
        <f>INDEX(Teams!$B:$B,MATCH(F697,Teams!$A:$A,0))</f>
        <v>Chennai Super Kings</v>
      </c>
      <c r="R697" t="str">
        <f>INDEX(Teams!$B:$B,MATCH(G697,Teams!$A:$A,0))</f>
        <v>Chennai Super Kings</v>
      </c>
      <c r="S697" t="str">
        <f>IF(K697="","No result",INDEX(Teams!$B:$B,MATCH(K697,Teams!$A:$A,0)))</f>
        <v>Chennai Super Kings</v>
      </c>
      <c r="T697" t="str">
        <f>INDEX(Venues!$B:$B,MATCH(O697,Venues!$A:$A,0))</f>
        <v>Wankhede Stadium</v>
      </c>
      <c r="U697" t="str">
        <f>INDEX(Venues!$C:$C,MATCH(O697,Venues!$A:$A,0))</f>
        <v>Mumbai</v>
      </c>
      <c r="V697" t="str">
        <f>IF(L697&gt;0,L697&amp;" runs",IF(M697&gt;0,M697&amp;" wickets","-"))</f>
        <v>8 wickets</v>
      </c>
      <c r="W697">
        <f>IF(G697=K697,1,0)</f>
        <v>1</v>
      </c>
      <c r="X697">
        <f>IF(L697&gt;0,L697,"")</f>
        <v/>
      </c>
      <c r="Y697">
        <f>IF(X697="","",IF(X697&gt;Stats!$B$15,"Outlier",""))</f>
        <v/>
      </c>
      <c r="Z697" t="str">
        <f>P697&amp;" vs "&amp;Q697</f>
        <v>Sunrisers Hyderabad vs Chennai Super Kings</v>
      </c>
    </row>
    <row r="698" spans="1:26" x14ac:dyDescent="0.25">
      <c r="A698">
        <v>11137</v>
      </c>
      <c r="B698">
        <v>2019</v>
      </c>
      <c r="C698" s="5">
        <v>43547</v>
      </c>
      <c r="D698" t="s">
        <v>172</v>
      </c>
      <c r="E698" t="s">
        <v>46</v>
      </c>
      <c r="F698" t="s">
        <v>12</v>
      </c>
      <c r="G698" t="s">
        <v>12</v>
      </c>
      <c r="H698" t="s">
        <v>173</v>
      </c>
      <c r="I698" t="s">
        <v>174</v>
      </c>
      <c r="J698">
        <v>0</v>
      </c>
      <c r="K698" t="s">
        <v>12</v>
      </c>
      <c r="L698">
        <v>0</v>
      </c>
      <c r="M698">
        <v>7</v>
      </c>
      <c r="N698" t="s">
        <v>240</v>
      </c>
      <c r="O698" t="s">
        <v>94</v>
      </c>
      <c r="P698" t="str">
        <f>INDEX(Teams!$B:$B,MATCH(E698,Teams!$A:$A,0))</f>
        <v>Royal Challengers Bangalore</v>
      </c>
      <c r="Q698" t="str">
        <f>INDEX(Teams!$B:$B,MATCH(F698,Teams!$A:$A,0))</f>
        <v>Chennai Super Kings</v>
      </c>
      <c r="R698" t="str">
        <f>INDEX(Teams!$B:$B,MATCH(G698,Teams!$A:$A,0))</f>
        <v>Chennai Super Kings</v>
      </c>
      <c r="S698" t="str">
        <f>IF(K698="","No result",INDEX(Teams!$B:$B,MATCH(K698,Teams!$A:$A,0)))</f>
        <v>Chennai Super Kings</v>
      </c>
      <c r="T698" t="str">
        <f>INDEX(Venues!$B:$B,MATCH(O698,Venues!$A:$A,0))</f>
        <v>MA Chidambaram Stadium</v>
      </c>
      <c r="U698" t="str">
        <f>INDEX(Venues!$C:$C,MATCH(O698,Venues!$A:$A,0))</f>
        <v>Chennai</v>
      </c>
      <c r="V698" t="str">
        <f>IF(L698&gt;0,L698&amp;" runs",IF(M698&gt;0,M698&amp;" wickets","-"))</f>
        <v>7 wickets</v>
      </c>
      <c r="W698">
        <f>IF(G698=K698,1,0)</f>
        <v>1</v>
      </c>
      <c r="X698">
        <f>IF(L698&gt;0,L698,"")</f>
        <v/>
      </c>
      <c r="Y698">
        <f>IF(X698="","",IF(X698&gt;Stats!$B$15,"Outlier",""))</f>
        <v/>
      </c>
      <c r="Z698" t="str">
        <f>P698&amp;" vs "&amp;Q698</f>
        <v>Royal Challengers Bangalore vs Chennai Super Kings</v>
      </c>
    </row>
    <row r="699" spans="1:26" x14ac:dyDescent="0.25">
      <c r="A699">
        <v>11138</v>
      </c>
      <c r="B699">
        <v>2019</v>
      </c>
      <c r="C699" s="5">
        <v>43548</v>
      </c>
      <c r="D699" t="s">
        <v>172</v>
      </c>
      <c r="E699" t="s">
        <v>49</v>
      </c>
      <c r="F699" t="s">
        <v>32</v>
      </c>
      <c r="G699" t="s">
        <v>32</v>
      </c>
      <c r="H699" t="s">
        <v>173</v>
      </c>
      <c r="I699" t="s">
        <v>174</v>
      </c>
      <c r="J699">
        <v>0</v>
      </c>
      <c r="K699" t="s">
        <v>32</v>
      </c>
      <c r="L699">
        <v>0</v>
      </c>
      <c r="M699">
        <v>6</v>
      </c>
      <c r="N699" t="s">
        <v>344</v>
      </c>
      <c r="O699" t="s">
        <v>73</v>
      </c>
      <c r="P699" t="str">
        <f>INDEX(Teams!$B:$B,MATCH(E699,Teams!$A:$A,0))</f>
        <v>Sunrisers Hyderabad</v>
      </c>
      <c r="Q699" t="str">
        <f>INDEX(Teams!$B:$B,MATCH(F699,Teams!$A:$A,0))</f>
        <v>Kolkata Knight Riders</v>
      </c>
      <c r="R699" t="str">
        <f>INDEX(Teams!$B:$B,MATCH(G699,Teams!$A:$A,0))</f>
        <v>Kolkata Knight Riders</v>
      </c>
      <c r="S699" t="str">
        <f>IF(K699="","No result",INDEX(Teams!$B:$B,MATCH(K699,Teams!$A:$A,0)))</f>
        <v>Kolkata Knight Riders</v>
      </c>
      <c r="T699" t="str">
        <f>INDEX(Venues!$B:$B,MATCH(O699,Venues!$A:$A,0))</f>
        <v>Eden Gardens</v>
      </c>
      <c r="U699" t="str">
        <f>INDEX(Venues!$C:$C,MATCH(O699,Venues!$A:$A,0))</f>
        <v>Kolkata</v>
      </c>
      <c r="V699" t="str">
        <f>IF(L699&gt;0,L699&amp;" runs",IF(M699&gt;0,M699&amp;" wickets","-"))</f>
        <v>6 wickets</v>
      </c>
      <c r="W699">
        <f>IF(G699=K699,1,0)</f>
        <v>1</v>
      </c>
      <c r="X699">
        <f>IF(L699&gt;0,L699,"")</f>
        <v/>
      </c>
      <c r="Y699">
        <f>IF(X699="","",IF(X699&gt;Stats!$B$15,"Outlier",""))</f>
        <v/>
      </c>
      <c r="Z699" t="str">
        <f>P699&amp;" vs "&amp;Q699</f>
        <v>Sunrisers Hyderabad vs Kolkata Knight Riders</v>
      </c>
    </row>
    <row r="700" spans="1:26" x14ac:dyDescent="0.25">
      <c r="A700">
        <v>11139</v>
      </c>
      <c r="B700">
        <v>2019</v>
      </c>
      <c r="C700" s="5">
        <v>43548</v>
      </c>
      <c r="D700" t="s">
        <v>172</v>
      </c>
      <c r="E700" t="s">
        <v>20</v>
      </c>
      <c r="F700" t="s">
        <v>35</v>
      </c>
      <c r="G700" t="s">
        <v>35</v>
      </c>
      <c r="H700" t="s">
        <v>173</v>
      </c>
      <c r="I700" t="s">
        <v>174</v>
      </c>
      <c r="J700">
        <v>0</v>
      </c>
      <c r="K700" t="s">
        <v>20</v>
      </c>
      <c r="L700">
        <v>37</v>
      </c>
      <c r="M700">
        <v>0</v>
      </c>
      <c r="N700" t="s">
        <v>361</v>
      </c>
      <c r="O700" t="s">
        <v>138</v>
      </c>
      <c r="P700" t="str">
        <f>INDEX(Teams!$B:$B,MATCH(E700,Teams!$A:$A,0))</f>
        <v>Delhi Capitals</v>
      </c>
      <c r="Q700" t="str">
        <f>INDEX(Teams!$B:$B,MATCH(F700,Teams!$A:$A,0))</f>
        <v>Mumbai Indians</v>
      </c>
      <c r="R700" t="str">
        <f>INDEX(Teams!$B:$B,MATCH(G700,Teams!$A:$A,0))</f>
        <v>Mumbai Indians</v>
      </c>
      <c r="S700" t="str">
        <f>IF(K700="","No result",INDEX(Teams!$B:$B,MATCH(K700,Teams!$A:$A,0)))</f>
        <v>Delhi Capitals</v>
      </c>
      <c r="T700" t="str">
        <f>INDEX(Venues!$B:$B,MATCH(O700,Venues!$A:$A,0))</f>
        <v>Wankhede Stadium</v>
      </c>
      <c r="U700" t="str">
        <f>INDEX(Venues!$C:$C,MATCH(O700,Venues!$A:$A,0))</f>
        <v>Mumbai</v>
      </c>
      <c r="V700" t="str">
        <f>IF(L700&gt;0,L700&amp;" runs",IF(M700&gt;0,M700&amp;" wickets","-"))</f>
        <v>37 runs</v>
      </c>
      <c r="W700">
        <f>IF(G700=K700,1,0)</f>
        <v>0</v>
      </c>
      <c r="X700">
        <f>IF(L700&gt;0,L700,"")</f>
        <v>37</v>
      </c>
      <c r="Y700">
        <f>IF(X700="","",IF(X700&gt;Stats!$B$15,"Outlier",""))</f>
        <v/>
      </c>
      <c r="Z700" t="str">
        <f>P700&amp;" vs "&amp;Q700</f>
        <v>Delhi Capitals vs Mumbai Indians</v>
      </c>
    </row>
    <row r="701" spans="1:26" x14ac:dyDescent="0.25">
      <c r="A701">
        <v>11140</v>
      </c>
      <c r="B701">
        <v>2019</v>
      </c>
      <c r="C701" s="5">
        <v>43549</v>
      </c>
      <c r="D701" t="s">
        <v>172</v>
      </c>
      <c r="E701" t="s">
        <v>26</v>
      </c>
      <c r="F701" t="s">
        <v>41</v>
      </c>
      <c r="G701" t="s">
        <v>41</v>
      </c>
      <c r="H701" t="s">
        <v>173</v>
      </c>
      <c r="I701" t="s">
        <v>174</v>
      </c>
      <c r="J701">
        <v>0</v>
      </c>
      <c r="K701" t="s">
        <v>26</v>
      </c>
      <c r="L701">
        <v>14</v>
      </c>
      <c r="M701">
        <v>0</v>
      </c>
      <c r="N701" t="s">
        <v>222</v>
      </c>
      <c r="O701" t="s">
        <v>118</v>
      </c>
      <c r="P701" t="str">
        <f>INDEX(Teams!$B:$B,MATCH(E701,Teams!$A:$A,0))</f>
        <v>Kings XI Punjab</v>
      </c>
      <c r="Q701" t="str">
        <f>INDEX(Teams!$B:$B,MATCH(F701,Teams!$A:$A,0))</f>
        <v>Rajasthan Royals</v>
      </c>
      <c r="R701" t="str">
        <f>INDEX(Teams!$B:$B,MATCH(G701,Teams!$A:$A,0))</f>
        <v>Rajasthan Royals</v>
      </c>
      <c r="S701" t="str">
        <f>IF(K701="","No result",INDEX(Teams!$B:$B,MATCH(K701,Teams!$A:$A,0)))</f>
        <v>Kings XI Punjab</v>
      </c>
      <c r="T701" t="str">
        <f>INDEX(Venues!$B:$B,MATCH(O701,Venues!$A:$A,0))</f>
        <v>Sawai Mansingh Stadium</v>
      </c>
      <c r="U701" t="str">
        <f>INDEX(Venues!$C:$C,MATCH(O701,Venues!$A:$A,0))</f>
        <v>Jaipur</v>
      </c>
      <c r="V701" t="str">
        <f>IF(L701&gt;0,L701&amp;" runs",IF(M701&gt;0,M701&amp;" wickets","-"))</f>
        <v>14 runs</v>
      </c>
      <c r="W701">
        <f>IF(G701=K701,1,0)</f>
        <v>0</v>
      </c>
      <c r="X701">
        <f>IF(L701&gt;0,L701,"")</f>
        <v>14</v>
      </c>
      <c r="Y701">
        <f>IF(X701="","",IF(X701&gt;Stats!$B$15,"Outlier",""))</f>
        <v/>
      </c>
      <c r="Z701" t="str">
        <f>P701&amp;" vs "&amp;Q701</f>
        <v>Kings XI Punjab vs Rajasthan Royals</v>
      </c>
    </row>
    <row r="702" spans="1:26" x14ac:dyDescent="0.25">
      <c r="A702">
        <v>11141</v>
      </c>
      <c r="B702">
        <v>2019</v>
      </c>
      <c r="C702" s="5">
        <v>43550</v>
      </c>
      <c r="D702" t="s">
        <v>172</v>
      </c>
      <c r="E702" t="s">
        <v>20</v>
      </c>
      <c r="F702" t="s">
        <v>12</v>
      </c>
      <c r="G702" t="s">
        <v>20</v>
      </c>
      <c r="H702" t="s">
        <v>176</v>
      </c>
      <c r="I702" t="s">
        <v>174</v>
      </c>
      <c r="J702">
        <v>0</v>
      </c>
      <c r="K702" t="s">
        <v>12</v>
      </c>
      <c r="L702">
        <v>0</v>
      </c>
      <c r="M702">
        <v>6</v>
      </c>
      <c r="N702" t="s">
        <v>181</v>
      </c>
      <c r="O702" t="s">
        <v>75</v>
      </c>
      <c r="P702" t="str">
        <f>INDEX(Teams!$B:$B,MATCH(E702,Teams!$A:$A,0))</f>
        <v>Delhi Capitals</v>
      </c>
      <c r="Q702" t="str">
        <f>INDEX(Teams!$B:$B,MATCH(F702,Teams!$A:$A,0))</f>
        <v>Chennai Super Kings</v>
      </c>
      <c r="R702" t="str">
        <f>INDEX(Teams!$B:$B,MATCH(G702,Teams!$A:$A,0))</f>
        <v>Delhi Capitals</v>
      </c>
      <c r="S702" t="str">
        <f>IF(K702="","No result",INDEX(Teams!$B:$B,MATCH(K702,Teams!$A:$A,0)))</f>
        <v>Chennai Super Kings</v>
      </c>
      <c r="T702" t="str">
        <f>INDEX(Venues!$B:$B,MATCH(O702,Venues!$A:$A,0))</f>
        <v>Feroz Shah Kotla</v>
      </c>
      <c r="U702" t="str">
        <f>INDEX(Venues!$C:$C,MATCH(O702,Venues!$A:$A,0))</f>
        <v>Delhi</v>
      </c>
      <c r="V702" t="str">
        <f>IF(L702&gt;0,L702&amp;" runs",IF(M702&gt;0,M702&amp;" wickets","-"))</f>
        <v>6 wickets</v>
      </c>
      <c r="W702">
        <f>IF(G702=K702,1,0)</f>
        <v>0</v>
      </c>
      <c r="X702">
        <f>IF(L702&gt;0,L702,"")</f>
        <v/>
      </c>
      <c r="Y702">
        <f>IF(X702="","",IF(X702&gt;Stats!$B$15,"Outlier",""))</f>
        <v/>
      </c>
      <c r="Z702" t="str">
        <f>P702&amp;" vs "&amp;Q702</f>
        <v>Delhi Capitals vs Chennai Super Kings</v>
      </c>
    </row>
    <row r="703" spans="1:26" x14ac:dyDescent="0.25">
      <c r="A703">
        <v>11142</v>
      </c>
      <c r="B703">
        <v>2019</v>
      </c>
      <c r="C703" s="5">
        <v>43551</v>
      </c>
      <c r="D703" t="s">
        <v>172</v>
      </c>
      <c r="E703" t="s">
        <v>32</v>
      </c>
      <c r="F703" t="s">
        <v>26</v>
      </c>
      <c r="G703" t="s">
        <v>26</v>
      </c>
      <c r="H703" t="s">
        <v>173</v>
      </c>
      <c r="I703" t="s">
        <v>174</v>
      </c>
      <c r="J703">
        <v>0</v>
      </c>
      <c r="K703" t="s">
        <v>32</v>
      </c>
      <c r="L703">
        <v>28</v>
      </c>
      <c r="M703">
        <v>0</v>
      </c>
      <c r="N703" t="s">
        <v>344</v>
      </c>
      <c r="O703" t="s">
        <v>73</v>
      </c>
      <c r="P703" t="str">
        <f>INDEX(Teams!$B:$B,MATCH(E703,Teams!$A:$A,0))</f>
        <v>Kolkata Knight Riders</v>
      </c>
      <c r="Q703" t="str">
        <f>INDEX(Teams!$B:$B,MATCH(F703,Teams!$A:$A,0))</f>
        <v>Kings XI Punjab</v>
      </c>
      <c r="R703" t="str">
        <f>INDEX(Teams!$B:$B,MATCH(G703,Teams!$A:$A,0))</f>
        <v>Kings XI Punjab</v>
      </c>
      <c r="S703" t="str">
        <f>IF(K703="","No result",INDEX(Teams!$B:$B,MATCH(K703,Teams!$A:$A,0)))</f>
        <v>Kolkata Knight Riders</v>
      </c>
      <c r="T703" t="str">
        <f>INDEX(Venues!$B:$B,MATCH(O703,Venues!$A:$A,0))</f>
        <v>Eden Gardens</v>
      </c>
      <c r="U703" t="str">
        <f>INDEX(Venues!$C:$C,MATCH(O703,Venues!$A:$A,0))</f>
        <v>Kolkata</v>
      </c>
      <c r="V703" t="str">
        <f>IF(L703&gt;0,L703&amp;" runs",IF(M703&gt;0,M703&amp;" wickets","-"))</f>
        <v>28 runs</v>
      </c>
      <c r="W703">
        <f>IF(G703=K703,1,0)</f>
        <v>0</v>
      </c>
      <c r="X703">
        <f>IF(L703&gt;0,L703,"")</f>
        <v>28</v>
      </c>
      <c r="Y703">
        <f>IF(X703="","",IF(X703&gt;Stats!$B$15,"Outlier",""))</f>
        <v/>
      </c>
      <c r="Z703" t="str">
        <f>P703&amp;" vs "&amp;Q703</f>
        <v>Kolkata Knight Riders vs Kings XI Punjab</v>
      </c>
    </row>
    <row r="704" spans="1:26" x14ac:dyDescent="0.25">
      <c r="A704">
        <v>11143</v>
      </c>
      <c r="B704">
        <v>2019</v>
      </c>
      <c r="C704" s="5">
        <v>43552</v>
      </c>
      <c r="D704" t="s">
        <v>172</v>
      </c>
      <c r="E704" t="s">
        <v>35</v>
      </c>
      <c r="F704" t="s">
        <v>46</v>
      </c>
      <c r="G704" t="s">
        <v>46</v>
      </c>
      <c r="H704" t="s">
        <v>173</v>
      </c>
      <c r="I704" t="s">
        <v>174</v>
      </c>
      <c r="J704">
        <v>0</v>
      </c>
      <c r="K704" t="s">
        <v>35</v>
      </c>
      <c r="L704">
        <v>6</v>
      </c>
      <c r="M704">
        <v>0</v>
      </c>
      <c r="N704" t="s">
        <v>369</v>
      </c>
      <c r="O704" t="s">
        <v>92</v>
      </c>
      <c r="P704" t="str">
        <f>INDEX(Teams!$B:$B,MATCH(E704,Teams!$A:$A,0))</f>
        <v>Mumbai Indians</v>
      </c>
      <c r="Q704" t="str">
        <f>INDEX(Teams!$B:$B,MATCH(F704,Teams!$A:$A,0))</f>
        <v>Royal Challengers Bangalore</v>
      </c>
      <c r="R704" t="str">
        <f>INDEX(Teams!$B:$B,MATCH(G704,Teams!$A:$A,0))</f>
        <v>Royal Challengers Bangalore</v>
      </c>
      <c r="S704" t="str">
        <f>IF(K704="","No result",INDEX(Teams!$B:$B,MATCH(K704,Teams!$A:$A,0)))</f>
        <v>Mumbai Indians</v>
      </c>
      <c r="T704" t="str">
        <f>INDEX(Venues!$B:$B,MATCH(O704,Venues!$A:$A,0))</f>
        <v>M Chinnaswamy Stadium</v>
      </c>
      <c r="U704" t="str">
        <f>INDEX(Venues!$C:$C,MATCH(O704,Venues!$A:$A,0))</f>
        <v>Bangalore</v>
      </c>
      <c r="V704" t="str">
        <f>IF(L704&gt;0,L704&amp;" runs",IF(M704&gt;0,M704&amp;" wickets","-"))</f>
        <v>6 runs</v>
      </c>
      <c r="W704">
        <f>IF(G704=K704,1,0)</f>
        <v>0</v>
      </c>
      <c r="X704">
        <f>IF(L704&gt;0,L704,"")</f>
        <v>6</v>
      </c>
      <c r="Y704">
        <f>IF(X704="","",IF(X704&gt;Stats!$B$15,"Outlier",""))</f>
        <v/>
      </c>
      <c r="Z704" t="str">
        <f>P704&amp;" vs "&amp;Q704</f>
        <v>Mumbai Indians vs Royal Challengers Bangalore</v>
      </c>
    </row>
    <row r="705" spans="1:26" x14ac:dyDescent="0.25">
      <c r="A705">
        <v>11144</v>
      </c>
      <c r="B705">
        <v>2019</v>
      </c>
      <c r="C705" s="5">
        <v>43553</v>
      </c>
      <c r="D705" t="s">
        <v>172</v>
      </c>
      <c r="E705" t="s">
        <v>41</v>
      </c>
      <c r="F705" t="s">
        <v>49</v>
      </c>
      <c r="G705" t="s">
        <v>41</v>
      </c>
      <c r="H705" t="s">
        <v>176</v>
      </c>
      <c r="I705" t="s">
        <v>174</v>
      </c>
      <c r="J705">
        <v>0</v>
      </c>
      <c r="K705" t="s">
        <v>49</v>
      </c>
      <c r="L705">
        <v>0</v>
      </c>
      <c r="M705">
        <v>5</v>
      </c>
      <c r="N705" t="s">
        <v>367</v>
      </c>
      <c r="O705" t="s">
        <v>111</v>
      </c>
      <c r="P705" t="str">
        <f>INDEX(Teams!$B:$B,MATCH(E705,Teams!$A:$A,0))</f>
        <v>Rajasthan Royals</v>
      </c>
      <c r="Q705" t="str">
        <f>INDEX(Teams!$B:$B,MATCH(F705,Teams!$A:$A,0))</f>
        <v>Sunrisers Hyderabad</v>
      </c>
      <c r="R705" t="str">
        <f>INDEX(Teams!$B:$B,MATCH(G705,Teams!$A:$A,0))</f>
        <v>Rajasthan Royals</v>
      </c>
      <c r="S705" t="str">
        <f>IF(K705="","No result",INDEX(Teams!$B:$B,MATCH(K705,Teams!$A:$A,0)))</f>
        <v>Sunrisers Hyderabad</v>
      </c>
      <c r="T705" t="str">
        <f>INDEX(Venues!$B:$B,MATCH(O705,Venues!$A:$A,0))</f>
        <v>Rajiv Gandhi International Stadium</v>
      </c>
      <c r="U705" t="str">
        <f>INDEX(Venues!$C:$C,MATCH(O705,Venues!$A:$A,0))</f>
        <v>Hyderabad</v>
      </c>
      <c r="V705" t="str">
        <f>IF(L705&gt;0,L705&amp;" runs",IF(M705&gt;0,M705&amp;" wickets","-"))</f>
        <v>5 wickets</v>
      </c>
      <c r="W705">
        <f>IF(G705=K705,1,0)</f>
        <v>0</v>
      </c>
      <c r="X705">
        <f>IF(L705&gt;0,L705,"")</f>
        <v/>
      </c>
      <c r="Y705">
        <f>IF(X705="","",IF(X705&gt;Stats!$B$15,"Outlier",""))</f>
        <v/>
      </c>
      <c r="Z705" t="str">
        <f>P705&amp;" vs "&amp;Q705</f>
        <v>Rajasthan Royals vs Sunrisers Hyderabad</v>
      </c>
    </row>
    <row r="706" spans="1:26" x14ac:dyDescent="0.25">
      <c r="A706">
        <v>11145</v>
      </c>
      <c r="B706">
        <v>2019</v>
      </c>
      <c r="C706" s="5">
        <v>43554</v>
      </c>
      <c r="D706" t="s">
        <v>172</v>
      </c>
      <c r="E706" t="s">
        <v>35</v>
      </c>
      <c r="F706" t="s">
        <v>26</v>
      </c>
      <c r="G706" t="s">
        <v>26</v>
      </c>
      <c r="H706" t="s">
        <v>173</v>
      </c>
      <c r="I706" t="s">
        <v>174</v>
      </c>
      <c r="J706">
        <v>0</v>
      </c>
      <c r="K706" t="s">
        <v>26</v>
      </c>
      <c r="L706">
        <v>0</v>
      </c>
      <c r="M706">
        <v>8</v>
      </c>
      <c r="N706" t="s">
        <v>343</v>
      </c>
      <c r="O706" t="s">
        <v>109</v>
      </c>
      <c r="P706" t="str">
        <f>INDEX(Teams!$B:$B,MATCH(E706,Teams!$A:$A,0))</f>
        <v>Mumbai Indians</v>
      </c>
      <c r="Q706" t="str">
        <f>INDEX(Teams!$B:$B,MATCH(F706,Teams!$A:$A,0))</f>
        <v>Kings XI Punjab</v>
      </c>
      <c r="R706" t="str">
        <f>INDEX(Teams!$B:$B,MATCH(G706,Teams!$A:$A,0))</f>
        <v>Kings XI Punjab</v>
      </c>
      <c r="S706" t="str">
        <f>IF(K706="","No result",INDEX(Teams!$B:$B,MATCH(K706,Teams!$A:$A,0)))</f>
        <v>Kings XI Punjab</v>
      </c>
      <c r="T706" t="str">
        <f>INDEX(Venues!$B:$B,MATCH(O706,Venues!$A:$A,0))</f>
        <v>Punjab Cricket Association IS Bindra Stadium</v>
      </c>
      <c r="U706" t="str">
        <f>INDEX(Venues!$C:$C,MATCH(O706,Venues!$A:$A,0))</f>
        <v>Chandigarh</v>
      </c>
      <c r="V706" t="str">
        <f>IF(L706&gt;0,L706&amp;" runs",IF(M706&gt;0,M706&amp;" wickets","-"))</f>
        <v>8 wickets</v>
      </c>
      <c r="W706">
        <f>IF(G706=K706,1,0)</f>
        <v>1</v>
      </c>
      <c r="X706">
        <f>IF(L706&gt;0,L706,"")</f>
        <v/>
      </c>
      <c r="Y706">
        <f>IF(X706="","",IF(X706&gt;Stats!$B$15,"Outlier",""))</f>
        <v/>
      </c>
      <c r="Z706" t="str">
        <f>P706&amp;" vs "&amp;Q706</f>
        <v>Mumbai Indians vs Kings XI Punjab</v>
      </c>
    </row>
    <row r="707" spans="1:26" x14ac:dyDescent="0.25">
      <c r="A707">
        <v>11146</v>
      </c>
      <c r="B707">
        <v>2019</v>
      </c>
      <c r="C707" s="5">
        <v>43554</v>
      </c>
      <c r="D707" t="s">
        <v>172</v>
      </c>
      <c r="E707" t="s">
        <v>32</v>
      </c>
      <c r="F707" t="s">
        <v>20</v>
      </c>
      <c r="G707" t="s">
        <v>20</v>
      </c>
      <c r="H707" t="s">
        <v>173</v>
      </c>
      <c r="I707" t="s">
        <v>224</v>
      </c>
      <c r="J707">
        <v>0</v>
      </c>
      <c r="K707" t="s">
        <v>20</v>
      </c>
      <c r="L707">
        <v>0</v>
      </c>
      <c r="M707">
        <v>0</v>
      </c>
      <c r="N707" t="s">
        <v>394</v>
      </c>
      <c r="O707" t="s">
        <v>75</v>
      </c>
      <c r="P707" t="str">
        <f>INDEX(Teams!$B:$B,MATCH(E707,Teams!$A:$A,0))</f>
        <v>Kolkata Knight Riders</v>
      </c>
      <c r="Q707" t="str">
        <f>INDEX(Teams!$B:$B,MATCH(F707,Teams!$A:$A,0))</f>
        <v>Delhi Capitals</v>
      </c>
      <c r="R707" t="str">
        <f>INDEX(Teams!$B:$B,MATCH(G707,Teams!$A:$A,0))</f>
        <v>Delhi Capitals</v>
      </c>
      <c r="S707" t="str">
        <f>IF(K707="","No result",INDEX(Teams!$B:$B,MATCH(K707,Teams!$A:$A,0)))</f>
        <v>Delhi Capitals</v>
      </c>
      <c r="T707" t="str">
        <f>INDEX(Venues!$B:$B,MATCH(O707,Venues!$A:$A,0))</f>
        <v>Feroz Shah Kotla</v>
      </c>
      <c r="U707" t="str">
        <f>INDEX(Venues!$C:$C,MATCH(O707,Venues!$A:$A,0))</f>
        <v>Delhi</v>
      </c>
      <c r="V707" t="str">
        <f>IF(L707&gt;0,L707&amp;" runs",IF(M707&gt;0,M707&amp;" wickets","-"))</f>
        <v>-</v>
      </c>
      <c r="W707">
        <f>IF(G707=K707,1,0)</f>
        <v>1</v>
      </c>
      <c r="X707">
        <f>IF(L707&gt;0,L707,"")</f>
        <v/>
      </c>
      <c r="Y707">
        <f>IF(X707="","",IF(X707&gt;Stats!$B$15,"Outlier",""))</f>
        <v/>
      </c>
      <c r="Z707" t="str">
        <f>P707&amp;" vs "&amp;Q707</f>
        <v>Kolkata Knight Riders vs Delhi Capitals</v>
      </c>
    </row>
    <row r="708" spans="1:26" x14ac:dyDescent="0.25">
      <c r="A708">
        <v>11147</v>
      </c>
      <c r="B708">
        <v>2019</v>
      </c>
      <c r="C708" s="5">
        <v>43555</v>
      </c>
      <c r="D708" t="s">
        <v>172</v>
      </c>
      <c r="E708" t="s">
        <v>49</v>
      </c>
      <c r="F708" t="s">
        <v>46</v>
      </c>
      <c r="G708" t="s">
        <v>46</v>
      </c>
      <c r="H708" t="s">
        <v>173</v>
      </c>
      <c r="I708" t="s">
        <v>174</v>
      </c>
      <c r="J708">
        <v>0</v>
      </c>
      <c r="K708" t="s">
        <v>49</v>
      </c>
      <c r="L708">
        <v>118</v>
      </c>
      <c r="M708">
        <v>0</v>
      </c>
      <c r="N708" t="s">
        <v>395</v>
      </c>
      <c r="O708" t="s">
        <v>111</v>
      </c>
      <c r="P708" t="str">
        <f>INDEX(Teams!$B:$B,MATCH(E708,Teams!$A:$A,0))</f>
        <v>Sunrisers Hyderabad</v>
      </c>
      <c r="Q708" t="str">
        <f>INDEX(Teams!$B:$B,MATCH(F708,Teams!$A:$A,0))</f>
        <v>Royal Challengers Bangalore</v>
      </c>
      <c r="R708" t="str">
        <f>INDEX(Teams!$B:$B,MATCH(G708,Teams!$A:$A,0))</f>
        <v>Royal Challengers Bangalore</v>
      </c>
      <c r="S708" t="str">
        <f>IF(K708="","No result",INDEX(Teams!$B:$B,MATCH(K708,Teams!$A:$A,0)))</f>
        <v>Sunrisers Hyderabad</v>
      </c>
      <c r="T708" t="str">
        <f>INDEX(Venues!$B:$B,MATCH(O708,Venues!$A:$A,0))</f>
        <v>Rajiv Gandhi International Stadium</v>
      </c>
      <c r="U708" t="str">
        <f>INDEX(Venues!$C:$C,MATCH(O708,Venues!$A:$A,0))</f>
        <v>Hyderabad</v>
      </c>
      <c r="V708" t="str">
        <f>IF(L708&gt;0,L708&amp;" runs",IF(M708&gt;0,M708&amp;" wickets","-"))</f>
        <v>118 runs</v>
      </c>
      <c r="W708">
        <f>IF(G708=K708,1,0)</f>
        <v>0</v>
      </c>
      <c r="X708">
        <f>IF(L708&gt;0,L708,"")</f>
        <v>118</v>
      </c>
      <c r="Y708" t="str">
        <f>IF(X708="","",IF(X708&gt;Stats!$B$15,"Outlier",""))</f>
        <v>Outlier</v>
      </c>
      <c r="Z708" t="str">
        <f>P708&amp;" vs "&amp;Q708</f>
        <v>Sunrisers Hyderabad vs Royal Challengers Bangalore</v>
      </c>
    </row>
    <row r="709" spans="1:26" x14ac:dyDescent="0.25">
      <c r="A709">
        <v>11148</v>
      </c>
      <c r="B709">
        <v>2019</v>
      </c>
      <c r="C709" s="5">
        <v>43555</v>
      </c>
      <c r="D709" t="s">
        <v>172</v>
      </c>
      <c r="E709" t="s">
        <v>12</v>
      </c>
      <c r="F709" t="s">
        <v>41</v>
      </c>
      <c r="G709" t="s">
        <v>41</v>
      </c>
      <c r="H709" t="s">
        <v>173</v>
      </c>
      <c r="I709" t="s">
        <v>174</v>
      </c>
      <c r="J709">
        <v>0</v>
      </c>
      <c r="K709" t="s">
        <v>12</v>
      </c>
      <c r="L709">
        <v>8</v>
      </c>
      <c r="M709">
        <v>0</v>
      </c>
      <c r="N709" t="s">
        <v>189</v>
      </c>
      <c r="O709" t="s">
        <v>94</v>
      </c>
      <c r="P709" t="str">
        <f>INDEX(Teams!$B:$B,MATCH(E709,Teams!$A:$A,0))</f>
        <v>Chennai Super Kings</v>
      </c>
      <c r="Q709" t="str">
        <f>INDEX(Teams!$B:$B,MATCH(F709,Teams!$A:$A,0))</f>
        <v>Rajasthan Royals</v>
      </c>
      <c r="R709" t="str">
        <f>INDEX(Teams!$B:$B,MATCH(G709,Teams!$A:$A,0))</f>
        <v>Rajasthan Royals</v>
      </c>
      <c r="S709" t="str">
        <f>IF(K709="","No result",INDEX(Teams!$B:$B,MATCH(K709,Teams!$A:$A,0)))</f>
        <v>Chennai Super Kings</v>
      </c>
      <c r="T709" t="str">
        <f>INDEX(Venues!$B:$B,MATCH(O709,Venues!$A:$A,0))</f>
        <v>MA Chidambaram Stadium</v>
      </c>
      <c r="U709" t="str">
        <f>INDEX(Venues!$C:$C,MATCH(O709,Venues!$A:$A,0))</f>
        <v>Chennai</v>
      </c>
      <c r="V709" t="str">
        <f>IF(L709&gt;0,L709&amp;" runs",IF(M709&gt;0,M709&amp;" wickets","-"))</f>
        <v>8 runs</v>
      </c>
      <c r="W709">
        <f>IF(G709=K709,1,0)</f>
        <v>0</v>
      </c>
      <c r="X709">
        <f>IF(L709&gt;0,L709,"")</f>
        <v>8</v>
      </c>
      <c r="Y709">
        <f>IF(X709="","",IF(X709&gt;Stats!$B$15,"Outlier",""))</f>
        <v/>
      </c>
      <c r="Z709" t="str">
        <f>P709&amp;" vs "&amp;Q709</f>
        <v>Chennai Super Kings vs Rajasthan Royals</v>
      </c>
    </row>
    <row r="710" spans="1:26" x14ac:dyDescent="0.25">
      <c r="A710">
        <v>11149</v>
      </c>
      <c r="B710">
        <v>2019</v>
      </c>
      <c r="C710" s="5">
        <v>43556</v>
      </c>
      <c r="D710" t="s">
        <v>172</v>
      </c>
      <c r="E710" t="s">
        <v>26</v>
      </c>
      <c r="F710" t="s">
        <v>20</v>
      </c>
      <c r="G710" t="s">
        <v>20</v>
      </c>
      <c r="H710" t="s">
        <v>173</v>
      </c>
      <c r="I710" t="s">
        <v>174</v>
      </c>
      <c r="J710">
        <v>0</v>
      </c>
      <c r="K710" t="s">
        <v>26</v>
      </c>
      <c r="L710">
        <v>14</v>
      </c>
      <c r="M710">
        <v>0</v>
      </c>
      <c r="N710" t="s">
        <v>396</v>
      </c>
      <c r="O710" t="s">
        <v>109</v>
      </c>
      <c r="P710" t="str">
        <f>INDEX(Teams!$B:$B,MATCH(E710,Teams!$A:$A,0))</f>
        <v>Kings XI Punjab</v>
      </c>
      <c r="Q710" t="str">
        <f>INDEX(Teams!$B:$B,MATCH(F710,Teams!$A:$A,0))</f>
        <v>Delhi Capitals</v>
      </c>
      <c r="R710" t="str">
        <f>INDEX(Teams!$B:$B,MATCH(G710,Teams!$A:$A,0))</f>
        <v>Delhi Capitals</v>
      </c>
      <c r="S710" t="str">
        <f>IF(K710="","No result",INDEX(Teams!$B:$B,MATCH(K710,Teams!$A:$A,0)))</f>
        <v>Kings XI Punjab</v>
      </c>
      <c r="T710" t="str">
        <f>INDEX(Venues!$B:$B,MATCH(O710,Venues!$A:$A,0))</f>
        <v>Punjab Cricket Association IS Bindra Stadium</v>
      </c>
      <c r="U710" t="str">
        <f>INDEX(Venues!$C:$C,MATCH(O710,Venues!$A:$A,0))</f>
        <v>Chandigarh</v>
      </c>
      <c r="V710" t="str">
        <f>IF(L710&gt;0,L710&amp;" runs",IF(M710&gt;0,M710&amp;" wickets","-"))</f>
        <v>14 runs</v>
      </c>
      <c r="W710">
        <f>IF(G710=K710,1,0)</f>
        <v>0</v>
      </c>
      <c r="X710">
        <f>IF(L710&gt;0,L710,"")</f>
        <v>14</v>
      </c>
      <c r="Y710">
        <f>IF(X710="","",IF(X710&gt;Stats!$B$15,"Outlier",""))</f>
        <v/>
      </c>
      <c r="Z710" t="str">
        <f>P710&amp;" vs "&amp;Q710</f>
        <v>Kings XI Punjab vs Delhi Capitals</v>
      </c>
    </row>
    <row r="711" spans="1:26" x14ac:dyDescent="0.25">
      <c r="A711">
        <v>11150</v>
      </c>
      <c r="B711">
        <v>2019</v>
      </c>
      <c r="C711" s="5">
        <v>43557</v>
      </c>
      <c r="D711" t="s">
        <v>172</v>
      </c>
      <c r="E711" t="s">
        <v>46</v>
      </c>
      <c r="F711" t="s">
        <v>41</v>
      </c>
      <c r="G711" t="s">
        <v>41</v>
      </c>
      <c r="H711" t="s">
        <v>173</v>
      </c>
      <c r="I711" t="s">
        <v>174</v>
      </c>
      <c r="J711">
        <v>0</v>
      </c>
      <c r="K711" t="s">
        <v>41</v>
      </c>
      <c r="L711">
        <v>0</v>
      </c>
      <c r="M711">
        <v>7</v>
      </c>
      <c r="N711" t="s">
        <v>392</v>
      </c>
      <c r="O711" t="s">
        <v>118</v>
      </c>
      <c r="P711" t="str">
        <f>INDEX(Teams!$B:$B,MATCH(E711,Teams!$A:$A,0))</f>
        <v>Royal Challengers Bangalore</v>
      </c>
      <c r="Q711" t="str">
        <f>INDEX(Teams!$B:$B,MATCH(F711,Teams!$A:$A,0))</f>
        <v>Rajasthan Royals</v>
      </c>
      <c r="R711" t="str">
        <f>INDEX(Teams!$B:$B,MATCH(G711,Teams!$A:$A,0))</f>
        <v>Rajasthan Royals</v>
      </c>
      <c r="S711" t="str">
        <f>IF(K711="","No result",INDEX(Teams!$B:$B,MATCH(K711,Teams!$A:$A,0)))</f>
        <v>Rajasthan Royals</v>
      </c>
      <c r="T711" t="str">
        <f>INDEX(Venues!$B:$B,MATCH(O711,Venues!$A:$A,0))</f>
        <v>Sawai Mansingh Stadium</v>
      </c>
      <c r="U711" t="str">
        <f>INDEX(Venues!$C:$C,MATCH(O711,Venues!$A:$A,0))</f>
        <v>Jaipur</v>
      </c>
      <c r="V711" t="str">
        <f>IF(L711&gt;0,L711&amp;" runs",IF(M711&gt;0,M711&amp;" wickets","-"))</f>
        <v>7 wickets</v>
      </c>
      <c r="W711">
        <f>IF(G711=K711,1,0)</f>
        <v>1</v>
      </c>
      <c r="X711">
        <f>IF(L711&gt;0,L711,"")</f>
        <v/>
      </c>
      <c r="Y711">
        <f>IF(X711="","",IF(X711&gt;Stats!$B$15,"Outlier",""))</f>
        <v/>
      </c>
      <c r="Z711" t="str">
        <f>P711&amp;" vs "&amp;Q711</f>
        <v>Royal Challengers Bangalore vs Rajasthan Royals</v>
      </c>
    </row>
    <row r="712" spans="1:26" x14ac:dyDescent="0.25">
      <c r="A712">
        <v>11151</v>
      </c>
      <c r="B712">
        <v>2019</v>
      </c>
      <c r="C712" s="5">
        <v>43558</v>
      </c>
      <c r="D712" t="s">
        <v>172</v>
      </c>
      <c r="E712" t="s">
        <v>35</v>
      </c>
      <c r="F712" t="s">
        <v>12</v>
      </c>
      <c r="G712" t="s">
        <v>12</v>
      </c>
      <c r="H712" t="s">
        <v>173</v>
      </c>
      <c r="I712" t="s">
        <v>174</v>
      </c>
      <c r="J712">
        <v>0</v>
      </c>
      <c r="K712" t="s">
        <v>35</v>
      </c>
      <c r="L712">
        <v>37</v>
      </c>
      <c r="M712">
        <v>0</v>
      </c>
      <c r="N712" t="s">
        <v>351</v>
      </c>
      <c r="O712" t="s">
        <v>138</v>
      </c>
      <c r="P712" t="str">
        <f>INDEX(Teams!$B:$B,MATCH(E712,Teams!$A:$A,0))</f>
        <v>Mumbai Indians</v>
      </c>
      <c r="Q712" t="str">
        <f>INDEX(Teams!$B:$B,MATCH(F712,Teams!$A:$A,0))</f>
        <v>Chennai Super Kings</v>
      </c>
      <c r="R712" t="str">
        <f>INDEX(Teams!$B:$B,MATCH(G712,Teams!$A:$A,0))</f>
        <v>Chennai Super Kings</v>
      </c>
      <c r="S712" t="str">
        <f>IF(K712="","No result",INDEX(Teams!$B:$B,MATCH(K712,Teams!$A:$A,0)))</f>
        <v>Mumbai Indians</v>
      </c>
      <c r="T712" t="str">
        <f>INDEX(Venues!$B:$B,MATCH(O712,Venues!$A:$A,0))</f>
        <v>Wankhede Stadium</v>
      </c>
      <c r="U712" t="str">
        <f>INDEX(Venues!$C:$C,MATCH(O712,Venues!$A:$A,0))</f>
        <v>Mumbai</v>
      </c>
      <c r="V712" t="str">
        <f>IF(L712&gt;0,L712&amp;" runs",IF(M712&gt;0,M712&amp;" wickets","-"))</f>
        <v>37 runs</v>
      </c>
      <c r="W712">
        <f>IF(G712=K712,1,0)</f>
        <v>0</v>
      </c>
      <c r="X712">
        <f>IF(L712&gt;0,L712,"")</f>
        <v>37</v>
      </c>
      <c r="Y712">
        <f>IF(X712="","",IF(X712&gt;Stats!$B$15,"Outlier",""))</f>
        <v/>
      </c>
      <c r="Z712" t="str">
        <f>P712&amp;" vs "&amp;Q712</f>
        <v>Mumbai Indians vs Chennai Super Kings</v>
      </c>
    </row>
    <row r="713" spans="1:26" x14ac:dyDescent="0.25">
      <c r="A713">
        <v>11152</v>
      </c>
      <c r="B713">
        <v>2019</v>
      </c>
      <c r="C713" s="5">
        <v>43559</v>
      </c>
      <c r="D713" t="s">
        <v>172</v>
      </c>
      <c r="E713" t="s">
        <v>20</v>
      </c>
      <c r="F713" t="s">
        <v>49</v>
      </c>
      <c r="G713" t="s">
        <v>49</v>
      </c>
      <c r="H713" t="s">
        <v>173</v>
      </c>
      <c r="I713" t="s">
        <v>174</v>
      </c>
      <c r="J713">
        <v>0</v>
      </c>
      <c r="K713" t="s">
        <v>49</v>
      </c>
      <c r="L713">
        <v>0</v>
      </c>
      <c r="M713">
        <v>5</v>
      </c>
      <c r="N713" t="s">
        <v>395</v>
      </c>
      <c r="O713" t="s">
        <v>75</v>
      </c>
      <c r="P713" t="str">
        <f>INDEX(Teams!$B:$B,MATCH(E713,Teams!$A:$A,0))</f>
        <v>Delhi Capitals</v>
      </c>
      <c r="Q713" t="str">
        <f>INDEX(Teams!$B:$B,MATCH(F713,Teams!$A:$A,0))</f>
        <v>Sunrisers Hyderabad</v>
      </c>
      <c r="R713" t="str">
        <f>INDEX(Teams!$B:$B,MATCH(G713,Teams!$A:$A,0))</f>
        <v>Sunrisers Hyderabad</v>
      </c>
      <c r="S713" t="str">
        <f>IF(K713="","No result",INDEX(Teams!$B:$B,MATCH(K713,Teams!$A:$A,0)))</f>
        <v>Sunrisers Hyderabad</v>
      </c>
      <c r="T713" t="str">
        <f>INDEX(Venues!$B:$B,MATCH(O713,Venues!$A:$A,0))</f>
        <v>Feroz Shah Kotla</v>
      </c>
      <c r="U713" t="str">
        <f>INDEX(Venues!$C:$C,MATCH(O713,Venues!$A:$A,0))</f>
        <v>Delhi</v>
      </c>
      <c r="V713" t="str">
        <f>IF(L713&gt;0,L713&amp;" runs",IF(M713&gt;0,M713&amp;" wickets","-"))</f>
        <v>5 wickets</v>
      </c>
      <c r="W713">
        <f>IF(G713=K713,1,0)</f>
        <v>1</v>
      </c>
      <c r="X713">
        <f>IF(L713&gt;0,L713,"")</f>
        <v/>
      </c>
      <c r="Y713">
        <f>IF(X713="","",IF(X713&gt;Stats!$B$15,"Outlier",""))</f>
        <v/>
      </c>
      <c r="Z713" t="str">
        <f>P713&amp;" vs "&amp;Q713</f>
        <v>Delhi Capitals vs Sunrisers Hyderabad</v>
      </c>
    </row>
    <row r="714" spans="1:26" x14ac:dyDescent="0.25">
      <c r="A714">
        <v>11153</v>
      </c>
      <c r="B714">
        <v>2019</v>
      </c>
      <c r="C714" s="5">
        <v>43560</v>
      </c>
      <c r="D714" t="s">
        <v>172</v>
      </c>
      <c r="E714" t="s">
        <v>46</v>
      </c>
      <c r="F714" t="s">
        <v>32</v>
      </c>
      <c r="G714" t="s">
        <v>32</v>
      </c>
      <c r="H714" t="s">
        <v>173</v>
      </c>
      <c r="I714" t="s">
        <v>174</v>
      </c>
      <c r="J714">
        <v>0</v>
      </c>
      <c r="K714" t="s">
        <v>32</v>
      </c>
      <c r="L714">
        <v>0</v>
      </c>
      <c r="M714">
        <v>5</v>
      </c>
      <c r="N714" t="s">
        <v>344</v>
      </c>
      <c r="O714" t="s">
        <v>92</v>
      </c>
      <c r="P714" t="str">
        <f>INDEX(Teams!$B:$B,MATCH(E714,Teams!$A:$A,0))</f>
        <v>Royal Challengers Bangalore</v>
      </c>
      <c r="Q714" t="str">
        <f>INDEX(Teams!$B:$B,MATCH(F714,Teams!$A:$A,0))</f>
        <v>Kolkata Knight Riders</v>
      </c>
      <c r="R714" t="str">
        <f>INDEX(Teams!$B:$B,MATCH(G714,Teams!$A:$A,0))</f>
        <v>Kolkata Knight Riders</v>
      </c>
      <c r="S714" t="str">
        <f>IF(K714="","No result",INDEX(Teams!$B:$B,MATCH(K714,Teams!$A:$A,0)))</f>
        <v>Kolkata Knight Riders</v>
      </c>
      <c r="T714" t="str">
        <f>INDEX(Venues!$B:$B,MATCH(O714,Venues!$A:$A,0))</f>
        <v>M Chinnaswamy Stadium</v>
      </c>
      <c r="U714" t="str">
        <f>INDEX(Venues!$C:$C,MATCH(O714,Venues!$A:$A,0))</f>
        <v>Bangalore</v>
      </c>
      <c r="V714" t="str">
        <f>IF(L714&gt;0,L714&amp;" runs",IF(M714&gt;0,M714&amp;" wickets","-"))</f>
        <v>5 wickets</v>
      </c>
      <c r="W714">
        <f>IF(G714=K714,1,0)</f>
        <v>1</v>
      </c>
      <c r="X714">
        <f>IF(L714&gt;0,L714,"")</f>
        <v/>
      </c>
      <c r="Y714">
        <f>IF(X714="","",IF(X714&gt;Stats!$B$15,"Outlier",""))</f>
        <v/>
      </c>
      <c r="Z714" t="str">
        <f>P714&amp;" vs "&amp;Q714</f>
        <v>Royal Challengers Bangalore vs Kolkata Knight Riders</v>
      </c>
    </row>
    <row r="715" spans="1:26" x14ac:dyDescent="0.25">
      <c r="A715">
        <v>11309</v>
      </c>
      <c r="B715">
        <v>2019</v>
      </c>
      <c r="C715" s="5">
        <v>43561</v>
      </c>
      <c r="D715" t="s">
        <v>172</v>
      </c>
      <c r="E715" t="s">
        <v>12</v>
      </c>
      <c r="F715" t="s">
        <v>26</v>
      </c>
      <c r="G715" t="s">
        <v>12</v>
      </c>
      <c r="H715" t="s">
        <v>176</v>
      </c>
      <c r="I715" t="s">
        <v>174</v>
      </c>
      <c r="J715">
        <v>0</v>
      </c>
      <c r="K715" t="s">
        <v>12</v>
      </c>
      <c r="L715">
        <v>22</v>
      </c>
      <c r="M715">
        <v>0</v>
      </c>
      <c r="N715" t="s">
        <v>240</v>
      </c>
      <c r="O715" t="s">
        <v>94</v>
      </c>
      <c r="P715" t="str">
        <f>INDEX(Teams!$B:$B,MATCH(E715,Teams!$A:$A,0))</f>
        <v>Chennai Super Kings</v>
      </c>
      <c r="Q715" t="str">
        <f>INDEX(Teams!$B:$B,MATCH(F715,Teams!$A:$A,0))</f>
        <v>Kings XI Punjab</v>
      </c>
      <c r="R715" t="str">
        <f>INDEX(Teams!$B:$B,MATCH(G715,Teams!$A:$A,0))</f>
        <v>Chennai Super Kings</v>
      </c>
      <c r="S715" t="str">
        <f>IF(K715="","No result",INDEX(Teams!$B:$B,MATCH(K715,Teams!$A:$A,0)))</f>
        <v>Chennai Super Kings</v>
      </c>
      <c r="T715" t="str">
        <f>INDEX(Venues!$B:$B,MATCH(O715,Venues!$A:$A,0))</f>
        <v>MA Chidambaram Stadium</v>
      </c>
      <c r="U715" t="str">
        <f>INDEX(Venues!$C:$C,MATCH(O715,Venues!$A:$A,0))</f>
        <v>Chennai</v>
      </c>
      <c r="V715" t="str">
        <f>IF(L715&gt;0,L715&amp;" runs",IF(M715&gt;0,M715&amp;" wickets","-"))</f>
        <v>22 runs</v>
      </c>
      <c r="W715">
        <f>IF(G715=K715,1,0)</f>
        <v>1</v>
      </c>
      <c r="X715">
        <f>IF(L715&gt;0,L715,"")</f>
        <v>22</v>
      </c>
      <c r="Y715">
        <f>IF(X715="","",IF(X715&gt;Stats!$B$15,"Outlier",""))</f>
        <v/>
      </c>
      <c r="Z715" t="str">
        <f>P715&amp;" vs "&amp;Q715</f>
        <v>Chennai Super Kings vs Kings XI Punjab</v>
      </c>
    </row>
    <row r="716" spans="1:26" x14ac:dyDescent="0.25">
      <c r="A716">
        <v>11310</v>
      </c>
      <c r="B716">
        <v>2019</v>
      </c>
      <c r="C716" s="5">
        <v>43561</v>
      </c>
      <c r="D716" t="s">
        <v>172</v>
      </c>
      <c r="E716" t="s">
        <v>35</v>
      </c>
      <c r="F716" t="s">
        <v>49</v>
      </c>
      <c r="G716" t="s">
        <v>49</v>
      </c>
      <c r="H716" t="s">
        <v>173</v>
      </c>
      <c r="I716" t="s">
        <v>174</v>
      </c>
      <c r="J716">
        <v>0</v>
      </c>
      <c r="K716" t="s">
        <v>35</v>
      </c>
      <c r="L716">
        <v>40</v>
      </c>
      <c r="M716">
        <v>0</v>
      </c>
      <c r="N716" t="s">
        <v>397</v>
      </c>
      <c r="O716" t="s">
        <v>111</v>
      </c>
      <c r="P716" t="str">
        <f>INDEX(Teams!$B:$B,MATCH(E716,Teams!$A:$A,0))</f>
        <v>Mumbai Indians</v>
      </c>
      <c r="Q716" t="str">
        <f>INDEX(Teams!$B:$B,MATCH(F716,Teams!$A:$A,0))</f>
        <v>Sunrisers Hyderabad</v>
      </c>
      <c r="R716" t="str">
        <f>INDEX(Teams!$B:$B,MATCH(G716,Teams!$A:$A,0))</f>
        <v>Sunrisers Hyderabad</v>
      </c>
      <c r="S716" t="str">
        <f>IF(K716="","No result",INDEX(Teams!$B:$B,MATCH(K716,Teams!$A:$A,0)))</f>
        <v>Mumbai Indians</v>
      </c>
      <c r="T716" t="str">
        <f>INDEX(Venues!$B:$B,MATCH(O716,Venues!$A:$A,0))</f>
        <v>Rajiv Gandhi International Stadium</v>
      </c>
      <c r="U716" t="str">
        <f>INDEX(Venues!$C:$C,MATCH(O716,Venues!$A:$A,0))</f>
        <v>Hyderabad</v>
      </c>
      <c r="V716" t="str">
        <f>IF(L716&gt;0,L716&amp;" runs",IF(M716&gt;0,M716&amp;" wickets","-"))</f>
        <v>40 runs</v>
      </c>
      <c r="W716">
        <f>IF(G716=K716,1,0)</f>
        <v>0</v>
      </c>
      <c r="X716">
        <f>IF(L716&gt;0,L716,"")</f>
        <v>40</v>
      </c>
      <c r="Y716">
        <f>IF(X716="","",IF(X716&gt;Stats!$B$15,"Outlier",""))</f>
        <v/>
      </c>
      <c r="Z716" t="str">
        <f>P716&amp;" vs "&amp;Q716</f>
        <v>Mumbai Indians vs Sunrisers Hyderabad</v>
      </c>
    </row>
    <row r="717" spans="1:26" x14ac:dyDescent="0.25">
      <c r="A717">
        <v>11311</v>
      </c>
      <c r="B717">
        <v>2019</v>
      </c>
      <c r="C717" s="5">
        <v>43562</v>
      </c>
      <c r="D717" t="s">
        <v>172</v>
      </c>
      <c r="E717" t="s">
        <v>46</v>
      </c>
      <c r="F717" t="s">
        <v>20</v>
      </c>
      <c r="G717" t="s">
        <v>20</v>
      </c>
      <c r="H717" t="s">
        <v>173</v>
      </c>
      <c r="I717" t="s">
        <v>174</v>
      </c>
      <c r="J717">
        <v>0</v>
      </c>
      <c r="K717" t="s">
        <v>20</v>
      </c>
      <c r="L717">
        <v>0</v>
      </c>
      <c r="M717">
        <v>4</v>
      </c>
      <c r="N717" t="s">
        <v>398</v>
      </c>
      <c r="O717" t="s">
        <v>92</v>
      </c>
      <c r="P717" t="str">
        <f>INDEX(Teams!$B:$B,MATCH(E717,Teams!$A:$A,0))</f>
        <v>Royal Challengers Bangalore</v>
      </c>
      <c r="Q717" t="str">
        <f>INDEX(Teams!$B:$B,MATCH(F717,Teams!$A:$A,0))</f>
        <v>Delhi Capitals</v>
      </c>
      <c r="R717" t="str">
        <f>INDEX(Teams!$B:$B,MATCH(G717,Teams!$A:$A,0))</f>
        <v>Delhi Capitals</v>
      </c>
      <c r="S717" t="str">
        <f>IF(K717="","No result",INDEX(Teams!$B:$B,MATCH(K717,Teams!$A:$A,0)))</f>
        <v>Delhi Capitals</v>
      </c>
      <c r="T717" t="str">
        <f>INDEX(Venues!$B:$B,MATCH(O717,Venues!$A:$A,0))</f>
        <v>M Chinnaswamy Stadium</v>
      </c>
      <c r="U717" t="str">
        <f>INDEX(Venues!$C:$C,MATCH(O717,Venues!$A:$A,0))</f>
        <v>Bangalore</v>
      </c>
      <c r="V717" t="str">
        <f>IF(L717&gt;0,L717&amp;" runs",IF(M717&gt;0,M717&amp;" wickets","-"))</f>
        <v>4 wickets</v>
      </c>
      <c r="W717">
        <f>IF(G717=K717,1,0)</f>
        <v>1</v>
      </c>
      <c r="X717">
        <f>IF(L717&gt;0,L717,"")</f>
        <v/>
      </c>
      <c r="Y717">
        <f>IF(X717="","",IF(X717&gt;Stats!$B$15,"Outlier",""))</f>
        <v/>
      </c>
      <c r="Z717" t="str">
        <f>P717&amp;" vs "&amp;Q717</f>
        <v>Royal Challengers Bangalore vs Delhi Capitals</v>
      </c>
    </row>
    <row r="718" spans="1:26" x14ac:dyDescent="0.25">
      <c r="A718">
        <v>11312</v>
      </c>
      <c r="B718">
        <v>2019</v>
      </c>
      <c r="C718" s="5">
        <v>43562</v>
      </c>
      <c r="D718" t="s">
        <v>172</v>
      </c>
      <c r="E718" t="s">
        <v>41</v>
      </c>
      <c r="F718" t="s">
        <v>32</v>
      </c>
      <c r="G718" t="s">
        <v>32</v>
      </c>
      <c r="H718" t="s">
        <v>173</v>
      </c>
      <c r="I718" t="s">
        <v>174</v>
      </c>
      <c r="J718">
        <v>0</v>
      </c>
      <c r="K718" t="s">
        <v>32</v>
      </c>
      <c r="L718">
        <v>0</v>
      </c>
      <c r="M718">
        <v>8</v>
      </c>
      <c r="N718" t="s">
        <v>399</v>
      </c>
      <c r="O718" t="s">
        <v>118</v>
      </c>
      <c r="P718" t="str">
        <f>INDEX(Teams!$B:$B,MATCH(E718,Teams!$A:$A,0))</f>
        <v>Rajasthan Royals</v>
      </c>
      <c r="Q718" t="str">
        <f>INDEX(Teams!$B:$B,MATCH(F718,Teams!$A:$A,0))</f>
        <v>Kolkata Knight Riders</v>
      </c>
      <c r="R718" t="str">
        <f>INDEX(Teams!$B:$B,MATCH(G718,Teams!$A:$A,0))</f>
        <v>Kolkata Knight Riders</v>
      </c>
      <c r="S718" t="str">
        <f>IF(K718="","No result",INDEX(Teams!$B:$B,MATCH(K718,Teams!$A:$A,0)))</f>
        <v>Kolkata Knight Riders</v>
      </c>
      <c r="T718" t="str">
        <f>INDEX(Venues!$B:$B,MATCH(O718,Venues!$A:$A,0))</f>
        <v>Sawai Mansingh Stadium</v>
      </c>
      <c r="U718" t="str">
        <f>INDEX(Venues!$C:$C,MATCH(O718,Venues!$A:$A,0))</f>
        <v>Jaipur</v>
      </c>
      <c r="V718" t="str">
        <f>IF(L718&gt;0,L718&amp;" runs",IF(M718&gt;0,M718&amp;" wickets","-"))</f>
        <v>8 wickets</v>
      </c>
      <c r="W718">
        <f>IF(G718=K718,1,0)</f>
        <v>1</v>
      </c>
      <c r="X718">
        <f>IF(L718&gt;0,L718,"")</f>
        <v/>
      </c>
      <c r="Y718">
        <f>IF(X718="","",IF(X718&gt;Stats!$B$15,"Outlier",""))</f>
        <v/>
      </c>
      <c r="Z718" t="str">
        <f>P718&amp;" vs "&amp;Q718</f>
        <v>Rajasthan Royals vs Kolkata Knight Riders</v>
      </c>
    </row>
    <row r="719" spans="1:26" x14ac:dyDescent="0.25">
      <c r="A719">
        <v>11313</v>
      </c>
      <c r="B719">
        <v>2019</v>
      </c>
      <c r="C719" s="5">
        <v>43563</v>
      </c>
      <c r="D719" t="s">
        <v>172</v>
      </c>
      <c r="E719" t="s">
        <v>49</v>
      </c>
      <c r="F719" t="s">
        <v>26</v>
      </c>
      <c r="G719" t="s">
        <v>26</v>
      </c>
      <c r="H719" t="s">
        <v>173</v>
      </c>
      <c r="I719" t="s">
        <v>174</v>
      </c>
      <c r="J719">
        <v>0</v>
      </c>
      <c r="K719" t="s">
        <v>26</v>
      </c>
      <c r="L719">
        <v>0</v>
      </c>
      <c r="M719">
        <v>6</v>
      </c>
      <c r="N719" t="s">
        <v>381</v>
      </c>
      <c r="O719" t="s">
        <v>109</v>
      </c>
      <c r="P719" t="str">
        <f>INDEX(Teams!$B:$B,MATCH(E719,Teams!$A:$A,0))</f>
        <v>Sunrisers Hyderabad</v>
      </c>
      <c r="Q719" t="str">
        <f>INDEX(Teams!$B:$B,MATCH(F719,Teams!$A:$A,0))</f>
        <v>Kings XI Punjab</v>
      </c>
      <c r="R719" t="str">
        <f>INDEX(Teams!$B:$B,MATCH(G719,Teams!$A:$A,0))</f>
        <v>Kings XI Punjab</v>
      </c>
      <c r="S719" t="str">
        <f>IF(K719="","No result",INDEX(Teams!$B:$B,MATCH(K719,Teams!$A:$A,0)))</f>
        <v>Kings XI Punjab</v>
      </c>
      <c r="T719" t="str">
        <f>INDEX(Venues!$B:$B,MATCH(O719,Venues!$A:$A,0))</f>
        <v>Punjab Cricket Association IS Bindra Stadium</v>
      </c>
      <c r="U719" t="str">
        <f>INDEX(Venues!$C:$C,MATCH(O719,Venues!$A:$A,0))</f>
        <v>Chandigarh</v>
      </c>
      <c r="V719" t="str">
        <f>IF(L719&gt;0,L719&amp;" runs",IF(M719&gt;0,M719&amp;" wickets","-"))</f>
        <v>6 wickets</v>
      </c>
      <c r="W719">
        <f>IF(G719=K719,1,0)</f>
        <v>1</v>
      </c>
      <c r="X719">
        <f>IF(L719&gt;0,L719,"")</f>
        <v/>
      </c>
      <c r="Y719">
        <f>IF(X719="","",IF(X719&gt;Stats!$B$15,"Outlier",""))</f>
        <v/>
      </c>
      <c r="Z719" t="str">
        <f>P719&amp;" vs "&amp;Q719</f>
        <v>Sunrisers Hyderabad vs Kings XI Punjab</v>
      </c>
    </row>
    <row r="720" spans="1:26" x14ac:dyDescent="0.25">
      <c r="A720">
        <v>11314</v>
      </c>
      <c r="B720">
        <v>2019</v>
      </c>
      <c r="C720" s="5">
        <v>43564</v>
      </c>
      <c r="D720" t="s">
        <v>172</v>
      </c>
      <c r="E720" t="s">
        <v>32</v>
      </c>
      <c r="F720" t="s">
        <v>12</v>
      </c>
      <c r="G720" t="s">
        <v>12</v>
      </c>
      <c r="H720" t="s">
        <v>173</v>
      </c>
      <c r="I720" t="s">
        <v>174</v>
      </c>
      <c r="J720">
        <v>0</v>
      </c>
      <c r="K720" t="s">
        <v>12</v>
      </c>
      <c r="L720">
        <v>0</v>
      </c>
      <c r="M720">
        <v>7</v>
      </c>
      <c r="N720" t="s">
        <v>400</v>
      </c>
      <c r="O720" t="s">
        <v>94</v>
      </c>
      <c r="P720" t="str">
        <f>INDEX(Teams!$B:$B,MATCH(E720,Teams!$A:$A,0))</f>
        <v>Kolkata Knight Riders</v>
      </c>
      <c r="Q720" t="str">
        <f>INDEX(Teams!$B:$B,MATCH(F720,Teams!$A:$A,0))</f>
        <v>Chennai Super Kings</v>
      </c>
      <c r="R720" t="str">
        <f>INDEX(Teams!$B:$B,MATCH(G720,Teams!$A:$A,0))</f>
        <v>Chennai Super Kings</v>
      </c>
      <c r="S720" t="str">
        <f>IF(K720="","No result",INDEX(Teams!$B:$B,MATCH(K720,Teams!$A:$A,0)))</f>
        <v>Chennai Super Kings</v>
      </c>
      <c r="T720" t="str">
        <f>INDEX(Venues!$B:$B,MATCH(O720,Venues!$A:$A,0))</f>
        <v>MA Chidambaram Stadium</v>
      </c>
      <c r="U720" t="str">
        <f>INDEX(Venues!$C:$C,MATCH(O720,Venues!$A:$A,0))</f>
        <v>Chennai</v>
      </c>
      <c r="V720" t="str">
        <f>IF(L720&gt;0,L720&amp;" runs",IF(M720&gt;0,M720&amp;" wickets","-"))</f>
        <v>7 wickets</v>
      </c>
      <c r="W720">
        <f>IF(G720=K720,1,0)</f>
        <v>1</v>
      </c>
      <c r="X720">
        <f>IF(L720&gt;0,L720,"")</f>
        <v/>
      </c>
      <c r="Y720">
        <f>IF(X720="","",IF(X720&gt;Stats!$B$15,"Outlier",""))</f>
        <v/>
      </c>
      <c r="Z720" t="str">
        <f>P720&amp;" vs "&amp;Q720</f>
        <v>Kolkata Knight Riders vs Chennai Super Kings</v>
      </c>
    </row>
    <row r="721" spans="1:26" x14ac:dyDescent="0.25">
      <c r="A721">
        <v>11315</v>
      </c>
      <c r="B721">
        <v>2019</v>
      </c>
      <c r="C721" s="5">
        <v>43565</v>
      </c>
      <c r="D721" t="s">
        <v>172</v>
      </c>
      <c r="E721" t="s">
        <v>26</v>
      </c>
      <c r="F721" t="s">
        <v>35</v>
      </c>
      <c r="G721" t="s">
        <v>35</v>
      </c>
      <c r="H721" t="s">
        <v>173</v>
      </c>
      <c r="I721" t="s">
        <v>174</v>
      </c>
      <c r="J721">
        <v>0</v>
      </c>
      <c r="K721" t="s">
        <v>35</v>
      </c>
      <c r="L721">
        <v>0</v>
      </c>
      <c r="M721">
        <v>3</v>
      </c>
      <c r="N721" t="s">
        <v>268</v>
      </c>
      <c r="O721" t="s">
        <v>138</v>
      </c>
      <c r="P721" t="str">
        <f>INDEX(Teams!$B:$B,MATCH(E721,Teams!$A:$A,0))</f>
        <v>Kings XI Punjab</v>
      </c>
      <c r="Q721" t="str">
        <f>INDEX(Teams!$B:$B,MATCH(F721,Teams!$A:$A,0))</f>
        <v>Mumbai Indians</v>
      </c>
      <c r="R721" t="str">
        <f>INDEX(Teams!$B:$B,MATCH(G721,Teams!$A:$A,0))</f>
        <v>Mumbai Indians</v>
      </c>
      <c r="S721" t="str">
        <f>IF(K721="","No result",INDEX(Teams!$B:$B,MATCH(K721,Teams!$A:$A,0)))</f>
        <v>Mumbai Indians</v>
      </c>
      <c r="T721" t="str">
        <f>INDEX(Venues!$B:$B,MATCH(O721,Venues!$A:$A,0))</f>
        <v>Wankhede Stadium</v>
      </c>
      <c r="U721" t="str">
        <f>INDEX(Venues!$C:$C,MATCH(O721,Venues!$A:$A,0))</f>
        <v>Mumbai</v>
      </c>
      <c r="V721" t="str">
        <f>IF(L721&gt;0,L721&amp;" runs",IF(M721&gt;0,M721&amp;" wickets","-"))</f>
        <v>3 wickets</v>
      </c>
      <c r="W721">
        <f>IF(G721=K721,1,0)</f>
        <v>1</v>
      </c>
      <c r="X721">
        <f>IF(L721&gt;0,L721,"")</f>
        <v/>
      </c>
      <c r="Y721">
        <f>IF(X721="","",IF(X721&gt;Stats!$B$15,"Outlier",""))</f>
        <v/>
      </c>
      <c r="Z721" t="str">
        <f>P721&amp;" vs "&amp;Q721</f>
        <v>Kings XI Punjab vs Mumbai Indians</v>
      </c>
    </row>
    <row r="722" spans="1:26" x14ac:dyDescent="0.25">
      <c r="A722">
        <v>11316</v>
      </c>
      <c r="B722">
        <v>2019</v>
      </c>
      <c r="C722" s="5">
        <v>43566</v>
      </c>
      <c r="D722" t="s">
        <v>172</v>
      </c>
      <c r="E722" t="s">
        <v>41</v>
      </c>
      <c r="F722" t="s">
        <v>12</v>
      </c>
      <c r="G722" t="s">
        <v>12</v>
      </c>
      <c r="H722" t="s">
        <v>173</v>
      </c>
      <c r="I722" t="s">
        <v>174</v>
      </c>
      <c r="J722">
        <v>0</v>
      </c>
      <c r="K722" t="s">
        <v>12</v>
      </c>
      <c r="L722">
        <v>0</v>
      </c>
      <c r="M722">
        <v>4</v>
      </c>
      <c r="N722" t="s">
        <v>189</v>
      </c>
      <c r="O722" t="s">
        <v>118</v>
      </c>
      <c r="P722" t="str">
        <f>INDEX(Teams!$B:$B,MATCH(E722,Teams!$A:$A,0))</f>
        <v>Rajasthan Royals</v>
      </c>
      <c r="Q722" t="str">
        <f>INDEX(Teams!$B:$B,MATCH(F722,Teams!$A:$A,0))</f>
        <v>Chennai Super Kings</v>
      </c>
      <c r="R722" t="str">
        <f>INDEX(Teams!$B:$B,MATCH(G722,Teams!$A:$A,0))</f>
        <v>Chennai Super Kings</v>
      </c>
      <c r="S722" t="str">
        <f>IF(K722="","No result",INDEX(Teams!$B:$B,MATCH(K722,Teams!$A:$A,0)))</f>
        <v>Chennai Super Kings</v>
      </c>
      <c r="T722" t="str">
        <f>INDEX(Venues!$B:$B,MATCH(O722,Venues!$A:$A,0))</f>
        <v>Sawai Mansingh Stadium</v>
      </c>
      <c r="U722" t="str">
        <f>INDEX(Venues!$C:$C,MATCH(O722,Venues!$A:$A,0))</f>
        <v>Jaipur</v>
      </c>
      <c r="V722" t="str">
        <f>IF(L722&gt;0,L722&amp;" runs",IF(M722&gt;0,M722&amp;" wickets","-"))</f>
        <v>4 wickets</v>
      </c>
      <c r="W722">
        <f>IF(G722=K722,1,0)</f>
        <v>1</v>
      </c>
      <c r="X722">
        <f>IF(L722&gt;0,L722,"")</f>
        <v/>
      </c>
      <c r="Y722">
        <f>IF(X722="","",IF(X722&gt;Stats!$B$15,"Outlier",""))</f>
        <v/>
      </c>
      <c r="Z722" t="str">
        <f>P722&amp;" vs "&amp;Q722</f>
        <v>Rajasthan Royals vs Chennai Super Kings</v>
      </c>
    </row>
    <row r="723" spans="1:26" x14ac:dyDescent="0.25">
      <c r="A723">
        <v>11317</v>
      </c>
      <c r="B723">
        <v>2019</v>
      </c>
      <c r="C723" s="5">
        <v>43567</v>
      </c>
      <c r="D723" t="s">
        <v>172</v>
      </c>
      <c r="E723" t="s">
        <v>32</v>
      </c>
      <c r="F723" t="s">
        <v>20</v>
      </c>
      <c r="G723" t="s">
        <v>20</v>
      </c>
      <c r="H723" t="s">
        <v>173</v>
      </c>
      <c r="I723" t="s">
        <v>174</v>
      </c>
      <c r="J723">
        <v>0</v>
      </c>
      <c r="K723" t="s">
        <v>20</v>
      </c>
      <c r="L723">
        <v>0</v>
      </c>
      <c r="M723">
        <v>7</v>
      </c>
      <c r="N723" t="s">
        <v>292</v>
      </c>
      <c r="O723" t="s">
        <v>73</v>
      </c>
      <c r="P723" t="str">
        <f>INDEX(Teams!$B:$B,MATCH(E723,Teams!$A:$A,0))</f>
        <v>Kolkata Knight Riders</v>
      </c>
      <c r="Q723" t="str">
        <f>INDEX(Teams!$B:$B,MATCH(F723,Teams!$A:$A,0))</f>
        <v>Delhi Capitals</v>
      </c>
      <c r="R723" t="str">
        <f>INDEX(Teams!$B:$B,MATCH(G723,Teams!$A:$A,0))</f>
        <v>Delhi Capitals</v>
      </c>
      <c r="S723" t="str">
        <f>IF(K723="","No result",INDEX(Teams!$B:$B,MATCH(K723,Teams!$A:$A,0)))</f>
        <v>Delhi Capitals</v>
      </c>
      <c r="T723" t="str">
        <f>INDEX(Venues!$B:$B,MATCH(O723,Venues!$A:$A,0))</f>
        <v>Eden Gardens</v>
      </c>
      <c r="U723" t="str">
        <f>INDEX(Venues!$C:$C,MATCH(O723,Venues!$A:$A,0))</f>
        <v>Kolkata</v>
      </c>
      <c r="V723" t="str">
        <f>IF(L723&gt;0,L723&amp;" runs",IF(M723&gt;0,M723&amp;" wickets","-"))</f>
        <v>7 wickets</v>
      </c>
      <c r="W723">
        <f>IF(G723=K723,1,0)</f>
        <v>1</v>
      </c>
      <c r="X723">
        <f>IF(L723&gt;0,L723,"")</f>
        <v/>
      </c>
      <c r="Y723">
        <f>IF(X723="","",IF(X723&gt;Stats!$B$15,"Outlier",""))</f>
        <v/>
      </c>
      <c r="Z723" t="str">
        <f>P723&amp;" vs "&amp;Q723</f>
        <v>Kolkata Knight Riders vs Delhi Capitals</v>
      </c>
    </row>
    <row r="724" spans="1:26" x14ac:dyDescent="0.25">
      <c r="A724">
        <v>11318</v>
      </c>
      <c r="B724">
        <v>2019</v>
      </c>
      <c r="C724" s="5">
        <v>43568</v>
      </c>
      <c r="D724" t="s">
        <v>172</v>
      </c>
      <c r="E724" t="s">
        <v>35</v>
      </c>
      <c r="F724" t="s">
        <v>41</v>
      </c>
      <c r="G724" t="s">
        <v>41</v>
      </c>
      <c r="H724" t="s">
        <v>173</v>
      </c>
      <c r="I724" t="s">
        <v>174</v>
      </c>
      <c r="J724">
        <v>0</v>
      </c>
      <c r="K724" t="s">
        <v>41</v>
      </c>
      <c r="L724">
        <v>0</v>
      </c>
      <c r="M724">
        <v>4</v>
      </c>
      <c r="N724" t="s">
        <v>373</v>
      </c>
      <c r="O724" t="s">
        <v>138</v>
      </c>
      <c r="P724" t="str">
        <f>INDEX(Teams!$B:$B,MATCH(E724,Teams!$A:$A,0))</f>
        <v>Mumbai Indians</v>
      </c>
      <c r="Q724" t="str">
        <f>INDEX(Teams!$B:$B,MATCH(F724,Teams!$A:$A,0))</f>
        <v>Rajasthan Royals</v>
      </c>
      <c r="R724" t="str">
        <f>INDEX(Teams!$B:$B,MATCH(G724,Teams!$A:$A,0))</f>
        <v>Rajasthan Royals</v>
      </c>
      <c r="S724" t="str">
        <f>IF(K724="","No result",INDEX(Teams!$B:$B,MATCH(K724,Teams!$A:$A,0)))</f>
        <v>Rajasthan Royals</v>
      </c>
      <c r="T724" t="str">
        <f>INDEX(Venues!$B:$B,MATCH(O724,Venues!$A:$A,0))</f>
        <v>Wankhede Stadium</v>
      </c>
      <c r="U724" t="str">
        <f>INDEX(Venues!$C:$C,MATCH(O724,Venues!$A:$A,0))</f>
        <v>Mumbai</v>
      </c>
      <c r="V724" t="str">
        <f>IF(L724&gt;0,L724&amp;" runs",IF(M724&gt;0,M724&amp;" wickets","-"))</f>
        <v>4 wickets</v>
      </c>
      <c r="W724">
        <f>IF(G724=K724,1,0)</f>
        <v>1</v>
      </c>
      <c r="X724">
        <f>IF(L724&gt;0,L724,"")</f>
        <v/>
      </c>
      <c r="Y724">
        <f>IF(X724="","",IF(X724&gt;Stats!$B$15,"Outlier",""))</f>
        <v/>
      </c>
      <c r="Z724" t="str">
        <f>P724&amp;" vs "&amp;Q724</f>
        <v>Mumbai Indians vs Rajasthan Royals</v>
      </c>
    </row>
    <row r="725" spans="1:26" x14ac:dyDescent="0.25">
      <c r="A725">
        <v>11319</v>
      </c>
      <c r="B725">
        <v>2019</v>
      </c>
      <c r="C725" s="5">
        <v>43568</v>
      </c>
      <c r="D725" t="s">
        <v>172</v>
      </c>
      <c r="E725" t="s">
        <v>26</v>
      </c>
      <c r="F725" t="s">
        <v>46</v>
      </c>
      <c r="G725" t="s">
        <v>46</v>
      </c>
      <c r="H725" t="s">
        <v>173</v>
      </c>
      <c r="I725" t="s">
        <v>174</v>
      </c>
      <c r="J725">
        <v>0</v>
      </c>
      <c r="K725" t="s">
        <v>46</v>
      </c>
      <c r="L725">
        <v>0</v>
      </c>
      <c r="M725">
        <v>8</v>
      </c>
      <c r="N725" t="s">
        <v>223</v>
      </c>
      <c r="O725" t="s">
        <v>109</v>
      </c>
      <c r="P725" t="str">
        <f>INDEX(Teams!$B:$B,MATCH(E725,Teams!$A:$A,0))</f>
        <v>Kings XI Punjab</v>
      </c>
      <c r="Q725" t="str">
        <f>INDEX(Teams!$B:$B,MATCH(F725,Teams!$A:$A,0))</f>
        <v>Royal Challengers Bangalore</v>
      </c>
      <c r="R725" t="str">
        <f>INDEX(Teams!$B:$B,MATCH(G725,Teams!$A:$A,0))</f>
        <v>Royal Challengers Bangalore</v>
      </c>
      <c r="S725" t="str">
        <f>IF(K725="","No result",INDEX(Teams!$B:$B,MATCH(K725,Teams!$A:$A,0)))</f>
        <v>Royal Challengers Bangalore</v>
      </c>
      <c r="T725" t="str">
        <f>INDEX(Venues!$B:$B,MATCH(O725,Venues!$A:$A,0))</f>
        <v>Punjab Cricket Association IS Bindra Stadium</v>
      </c>
      <c r="U725" t="str">
        <f>INDEX(Venues!$C:$C,MATCH(O725,Venues!$A:$A,0))</f>
        <v>Chandigarh</v>
      </c>
      <c r="V725" t="str">
        <f>IF(L725&gt;0,L725&amp;" runs",IF(M725&gt;0,M725&amp;" wickets","-"))</f>
        <v>8 wickets</v>
      </c>
      <c r="W725">
        <f>IF(G725=K725,1,0)</f>
        <v>1</v>
      </c>
      <c r="X725">
        <f>IF(L725&gt;0,L725,"")</f>
        <v/>
      </c>
      <c r="Y725">
        <f>IF(X725="","",IF(X725&gt;Stats!$B$15,"Outlier",""))</f>
        <v/>
      </c>
      <c r="Z725" t="str">
        <f>P725&amp;" vs "&amp;Q725</f>
        <v>Kings XI Punjab vs Royal Challengers Bangalore</v>
      </c>
    </row>
    <row r="726" spans="1:26" x14ac:dyDescent="0.25">
      <c r="A726">
        <v>11320</v>
      </c>
      <c r="B726">
        <v>2019</v>
      </c>
      <c r="C726" s="5">
        <v>43569</v>
      </c>
      <c r="D726" t="s">
        <v>172</v>
      </c>
      <c r="E726" t="s">
        <v>32</v>
      </c>
      <c r="F726" t="s">
        <v>12</v>
      </c>
      <c r="G726" t="s">
        <v>12</v>
      </c>
      <c r="H726" t="s">
        <v>173</v>
      </c>
      <c r="I726" t="s">
        <v>174</v>
      </c>
      <c r="J726">
        <v>0</v>
      </c>
      <c r="K726" t="s">
        <v>12</v>
      </c>
      <c r="L726">
        <v>0</v>
      </c>
      <c r="M726">
        <v>5</v>
      </c>
      <c r="N726" t="s">
        <v>401</v>
      </c>
      <c r="O726" t="s">
        <v>73</v>
      </c>
      <c r="P726" t="str">
        <f>INDEX(Teams!$B:$B,MATCH(E726,Teams!$A:$A,0))</f>
        <v>Kolkata Knight Riders</v>
      </c>
      <c r="Q726" t="str">
        <f>INDEX(Teams!$B:$B,MATCH(F726,Teams!$A:$A,0))</f>
        <v>Chennai Super Kings</v>
      </c>
      <c r="R726" t="str">
        <f>INDEX(Teams!$B:$B,MATCH(G726,Teams!$A:$A,0))</f>
        <v>Chennai Super Kings</v>
      </c>
      <c r="S726" t="str">
        <f>IF(K726="","No result",INDEX(Teams!$B:$B,MATCH(K726,Teams!$A:$A,0)))</f>
        <v>Chennai Super Kings</v>
      </c>
      <c r="T726" t="str">
        <f>INDEX(Venues!$B:$B,MATCH(O726,Venues!$A:$A,0))</f>
        <v>Eden Gardens</v>
      </c>
      <c r="U726" t="str">
        <f>INDEX(Venues!$C:$C,MATCH(O726,Venues!$A:$A,0))</f>
        <v>Kolkata</v>
      </c>
      <c r="V726" t="str">
        <f>IF(L726&gt;0,L726&amp;" runs",IF(M726&gt;0,M726&amp;" wickets","-"))</f>
        <v>5 wickets</v>
      </c>
      <c r="W726">
        <f>IF(G726=K726,1,0)</f>
        <v>1</v>
      </c>
      <c r="X726">
        <f>IF(L726&gt;0,L726,"")</f>
        <v/>
      </c>
      <c r="Y726">
        <f>IF(X726="","",IF(X726&gt;Stats!$B$15,"Outlier",""))</f>
        <v/>
      </c>
      <c r="Z726" t="str">
        <f>P726&amp;" vs "&amp;Q726</f>
        <v>Kolkata Knight Riders vs Chennai Super Kings</v>
      </c>
    </row>
    <row r="727" spans="1:26" x14ac:dyDescent="0.25">
      <c r="A727">
        <v>11321</v>
      </c>
      <c r="B727">
        <v>2019</v>
      </c>
      <c r="C727" s="5">
        <v>43569</v>
      </c>
      <c r="D727" t="s">
        <v>172</v>
      </c>
      <c r="E727" t="s">
        <v>20</v>
      </c>
      <c r="F727" t="s">
        <v>49</v>
      </c>
      <c r="G727" t="s">
        <v>49</v>
      </c>
      <c r="H727" t="s">
        <v>173</v>
      </c>
      <c r="I727" t="s">
        <v>174</v>
      </c>
      <c r="J727">
        <v>0</v>
      </c>
      <c r="K727" t="s">
        <v>20</v>
      </c>
      <c r="L727">
        <v>39</v>
      </c>
      <c r="M727">
        <v>0</v>
      </c>
      <c r="N727" t="s">
        <v>402</v>
      </c>
      <c r="O727" t="s">
        <v>111</v>
      </c>
      <c r="P727" t="str">
        <f>INDEX(Teams!$B:$B,MATCH(E727,Teams!$A:$A,0))</f>
        <v>Delhi Capitals</v>
      </c>
      <c r="Q727" t="str">
        <f>INDEX(Teams!$B:$B,MATCH(F727,Teams!$A:$A,0))</f>
        <v>Sunrisers Hyderabad</v>
      </c>
      <c r="R727" t="str">
        <f>INDEX(Teams!$B:$B,MATCH(G727,Teams!$A:$A,0))</f>
        <v>Sunrisers Hyderabad</v>
      </c>
      <c r="S727" t="str">
        <f>IF(K727="","No result",INDEX(Teams!$B:$B,MATCH(K727,Teams!$A:$A,0)))</f>
        <v>Delhi Capitals</v>
      </c>
      <c r="T727" t="str">
        <f>INDEX(Venues!$B:$B,MATCH(O727,Venues!$A:$A,0))</f>
        <v>Rajiv Gandhi International Stadium</v>
      </c>
      <c r="U727" t="str">
        <f>INDEX(Venues!$C:$C,MATCH(O727,Venues!$A:$A,0))</f>
        <v>Hyderabad</v>
      </c>
      <c r="V727" t="str">
        <f>IF(L727&gt;0,L727&amp;" runs",IF(M727&gt;0,M727&amp;" wickets","-"))</f>
        <v>39 runs</v>
      </c>
      <c r="W727">
        <f>IF(G727=K727,1,0)</f>
        <v>0</v>
      </c>
      <c r="X727">
        <f>IF(L727&gt;0,L727,"")</f>
        <v>39</v>
      </c>
      <c r="Y727">
        <f>IF(X727="","",IF(X727&gt;Stats!$B$15,"Outlier",""))</f>
        <v/>
      </c>
      <c r="Z727" t="str">
        <f>P727&amp;" vs "&amp;Q727</f>
        <v>Delhi Capitals vs Sunrisers Hyderabad</v>
      </c>
    </row>
    <row r="728" spans="1:26" x14ac:dyDescent="0.25">
      <c r="A728">
        <v>11322</v>
      </c>
      <c r="B728">
        <v>2019</v>
      </c>
      <c r="C728" s="5">
        <v>43570</v>
      </c>
      <c r="D728" t="s">
        <v>172</v>
      </c>
      <c r="E728" t="s">
        <v>46</v>
      </c>
      <c r="F728" t="s">
        <v>35</v>
      </c>
      <c r="G728" t="s">
        <v>35</v>
      </c>
      <c r="H728" t="s">
        <v>173</v>
      </c>
      <c r="I728" t="s">
        <v>174</v>
      </c>
      <c r="J728">
        <v>0</v>
      </c>
      <c r="K728" t="s">
        <v>35</v>
      </c>
      <c r="L728">
        <v>0</v>
      </c>
      <c r="M728">
        <v>5</v>
      </c>
      <c r="N728" t="s">
        <v>258</v>
      </c>
      <c r="O728" t="s">
        <v>138</v>
      </c>
      <c r="P728" t="str">
        <f>INDEX(Teams!$B:$B,MATCH(E728,Teams!$A:$A,0))</f>
        <v>Royal Challengers Bangalore</v>
      </c>
      <c r="Q728" t="str">
        <f>INDEX(Teams!$B:$B,MATCH(F728,Teams!$A:$A,0))</f>
        <v>Mumbai Indians</v>
      </c>
      <c r="R728" t="str">
        <f>INDEX(Teams!$B:$B,MATCH(G728,Teams!$A:$A,0))</f>
        <v>Mumbai Indians</v>
      </c>
      <c r="S728" t="str">
        <f>IF(K728="","No result",INDEX(Teams!$B:$B,MATCH(K728,Teams!$A:$A,0)))</f>
        <v>Mumbai Indians</v>
      </c>
      <c r="T728" t="str">
        <f>INDEX(Venues!$B:$B,MATCH(O728,Venues!$A:$A,0))</f>
        <v>Wankhede Stadium</v>
      </c>
      <c r="U728" t="str">
        <f>INDEX(Venues!$C:$C,MATCH(O728,Venues!$A:$A,0))</f>
        <v>Mumbai</v>
      </c>
      <c r="V728" t="str">
        <f>IF(L728&gt;0,L728&amp;" runs",IF(M728&gt;0,M728&amp;" wickets","-"))</f>
        <v>5 wickets</v>
      </c>
      <c r="W728">
        <f>IF(G728=K728,1,0)</f>
        <v>1</v>
      </c>
      <c r="X728">
        <f>IF(L728&gt;0,L728,"")</f>
        <v/>
      </c>
      <c r="Y728">
        <f>IF(X728="","",IF(X728&gt;Stats!$B$15,"Outlier",""))</f>
        <v/>
      </c>
      <c r="Z728" t="str">
        <f>P728&amp;" vs "&amp;Q728</f>
        <v>Royal Challengers Bangalore vs Mumbai Indians</v>
      </c>
    </row>
    <row r="729" spans="1:26" x14ac:dyDescent="0.25">
      <c r="A729">
        <v>11323</v>
      </c>
      <c r="B729">
        <v>2019</v>
      </c>
      <c r="C729" s="5">
        <v>43571</v>
      </c>
      <c r="D729" t="s">
        <v>172</v>
      </c>
      <c r="E729" t="s">
        <v>26</v>
      </c>
      <c r="F729" t="s">
        <v>41</v>
      </c>
      <c r="G729" t="s">
        <v>41</v>
      </c>
      <c r="H729" t="s">
        <v>173</v>
      </c>
      <c r="I729" t="s">
        <v>174</v>
      </c>
      <c r="J729">
        <v>0</v>
      </c>
      <c r="K729" t="s">
        <v>26</v>
      </c>
      <c r="L729">
        <v>12</v>
      </c>
      <c r="M729">
        <v>0</v>
      </c>
      <c r="N729" t="s">
        <v>269</v>
      </c>
      <c r="O729" t="s">
        <v>109</v>
      </c>
      <c r="P729" t="str">
        <f>INDEX(Teams!$B:$B,MATCH(E729,Teams!$A:$A,0))</f>
        <v>Kings XI Punjab</v>
      </c>
      <c r="Q729" t="str">
        <f>INDEX(Teams!$B:$B,MATCH(F729,Teams!$A:$A,0))</f>
        <v>Rajasthan Royals</v>
      </c>
      <c r="R729" t="str">
        <f>INDEX(Teams!$B:$B,MATCH(G729,Teams!$A:$A,0))</f>
        <v>Rajasthan Royals</v>
      </c>
      <c r="S729" t="str">
        <f>IF(K729="","No result",INDEX(Teams!$B:$B,MATCH(K729,Teams!$A:$A,0)))</f>
        <v>Kings XI Punjab</v>
      </c>
      <c r="T729" t="str">
        <f>INDEX(Venues!$B:$B,MATCH(O729,Venues!$A:$A,0))</f>
        <v>Punjab Cricket Association IS Bindra Stadium</v>
      </c>
      <c r="U729" t="str">
        <f>INDEX(Venues!$C:$C,MATCH(O729,Venues!$A:$A,0))</f>
        <v>Chandigarh</v>
      </c>
      <c r="V729" t="str">
        <f>IF(L729&gt;0,L729&amp;" runs",IF(M729&gt;0,M729&amp;" wickets","-"))</f>
        <v>12 runs</v>
      </c>
      <c r="W729">
        <f>IF(G729=K729,1,0)</f>
        <v>0</v>
      </c>
      <c r="X729">
        <f>IF(L729&gt;0,L729,"")</f>
        <v>12</v>
      </c>
      <c r="Y729">
        <f>IF(X729="","",IF(X729&gt;Stats!$B$15,"Outlier",""))</f>
        <v/>
      </c>
      <c r="Z729" t="str">
        <f>P729&amp;" vs "&amp;Q729</f>
        <v>Kings XI Punjab vs Rajasthan Royals</v>
      </c>
    </row>
    <row r="730" spans="1:26" x14ac:dyDescent="0.25">
      <c r="A730">
        <v>11324</v>
      </c>
      <c r="B730">
        <v>2019</v>
      </c>
      <c r="C730" s="5">
        <v>43572</v>
      </c>
      <c r="D730" t="s">
        <v>172</v>
      </c>
      <c r="E730" t="s">
        <v>12</v>
      </c>
      <c r="F730" t="s">
        <v>49</v>
      </c>
      <c r="G730" t="s">
        <v>12</v>
      </c>
      <c r="H730" t="s">
        <v>176</v>
      </c>
      <c r="I730" t="s">
        <v>174</v>
      </c>
      <c r="J730">
        <v>0</v>
      </c>
      <c r="K730" t="s">
        <v>49</v>
      </c>
      <c r="L730">
        <v>0</v>
      </c>
      <c r="M730">
        <v>6</v>
      </c>
      <c r="N730" t="s">
        <v>257</v>
      </c>
      <c r="O730" t="s">
        <v>111</v>
      </c>
      <c r="P730" t="str">
        <f>INDEX(Teams!$B:$B,MATCH(E730,Teams!$A:$A,0))</f>
        <v>Chennai Super Kings</v>
      </c>
      <c r="Q730" t="str">
        <f>INDEX(Teams!$B:$B,MATCH(F730,Teams!$A:$A,0))</f>
        <v>Sunrisers Hyderabad</v>
      </c>
      <c r="R730" t="str">
        <f>INDEX(Teams!$B:$B,MATCH(G730,Teams!$A:$A,0))</f>
        <v>Chennai Super Kings</v>
      </c>
      <c r="S730" t="str">
        <f>IF(K730="","No result",INDEX(Teams!$B:$B,MATCH(K730,Teams!$A:$A,0)))</f>
        <v>Sunrisers Hyderabad</v>
      </c>
      <c r="T730" t="str">
        <f>INDEX(Venues!$B:$B,MATCH(O730,Venues!$A:$A,0))</f>
        <v>Rajiv Gandhi International Stadium</v>
      </c>
      <c r="U730" t="str">
        <f>INDEX(Venues!$C:$C,MATCH(O730,Venues!$A:$A,0))</f>
        <v>Hyderabad</v>
      </c>
      <c r="V730" t="str">
        <f>IF(L730&gt;0,L730&amp;" runs",IF(M730&gt;0,M730&amp;" wickets","-"))</f>
        <v>6 wickets</v>
      </c>
      <c r="W730">
        <f>IF(G730=K730,1,0)</f>
        <v>0</v>
      </c>
      <c r="X730">
        <f>IF(L730&gt;0,L730,"")</f>
        <v/>
      </c>
      <c r="Y730">
        <f>IF(X730="","",IF(X730&gt;Stats!$B$15,"Outlier",""))</f>
        <v/>
      </c>
      <c r="Z730" t="str">
        <f>P730&amp;" vs "&amp;Q730</f>
        <v>Chennai Super Kings vs Sunrisers Hyderabad</v>
      </c>
    </row>
    <row r="731" spans="1:26" x14ac:dyDescent="0.25">
      <c r="A731">
        <v>11325</v>
      </c>
      <c r="B731">
        <v>2019</v>
      </c>
      <c r="C731" s="5">
        <v>43573</v>
      </c>
      <c r="D731" t="s">
        <v>172</v>
      </c>
      <c r="E731" t="s">
        <v>35</v>
      </c>
      <c r="F731" t="s">
        <v>20</v>
      </c>
      <c r="G731" t="s">
        <v>35</v>
      </c>
      <c r="H731" t="s">
        <v>176</v>
      </c>
      <c r="I731" t="s">
        <v>174</v>
      </c>
      <c r="J731">
        <v>0</v>
      </c>
      <c r="K731" t="s">
        <v>35</v>
      </c>
      <c r="L731">
        <v>40</v>
      </c>
      <c r="M731">
        <v>0</v>
      </c>
      <c r="N731" t="s">
        <v>351</v>
      </c>
      <c r="O731" t="s">
        <v>75</v>
      </c>
      <c r="P731" t="str">
        <f>INDEX(Teams!$B:$B,MATCH(E731,Teams!$A:$A,0))</f>
        <v>Mumbai Indians</v>
      </c>
      <c r="Q731" t="str">
        <f>INDEX(Teams!$B:$B,MATCH(F731,Teams!$A:$A,0))</f>
        <v>Delhi Capitals</v>
      </c>
      <c r="R731" t="str">
        <f>INDEX(Teams!$B:$B,MATCH(G731,Teams!$A:$A,0))</f>
        <v>Mumbai Indians</v>
      </c>
      <c r="S731" t="str">
        <f>IF(K731="","No result",INDEX(Teams!$B:$B,MATCH(K731,Teams!$A:$A,0)))</f>
        <v>Mumbai Indians</v>
      </c>
      <c r="T731" t="str">
        <f>INDEX(Venues!$B:$B,MATCH(O731,Venues!$A:$A,0))</f>
        <v>Feroz Shah Kotla</v>
      </c>
      <c r="U731" t="str">
        <f>INDEX(Venues!$C:$C,MATCH(O731,Venues!$A:$A,0))</f>
        <v>Delhi</v>
      </c>
      <c r="V731" t="str">
        <f>IF(L731&gt;0,L731&amp;" runs",IF(M731&gt;0,M731&amp;" wickets","-"))</f>
        <v>40 runs</v>
      </c>
      <c r="W731">
        <f>IF(G731=K731,1,0)</f>
        <v>1</v>
      </c>
      <c r="X731">
        <f>IF(L731&gt;0,L731,"")</f>
        <v>40</v>
      </c>
      <c r="Y731">
        <f>IF(X731="","",IF(X731&gt;Stats!$B$15,"Outlier",""))</f>
        <v/>
      </c>
      <c r="Z731" t="str">
        <f>P731&amp;" vs "&amp;Q731</f>
        <v>Mumbai Indians vs Delhi Capitals</v>
      </c>
    </row>
    <row r="732" spans="1:26" x14ac:dyDescent="0.25">
      <c r="A732">
        <v>11326</v>
      </c>
      <c r="B732">
        <v>2019</v>
      </c>
      <c r="C732" s="5">
        <v>43574</v>
      </c>
      <c r="D732" t="s">
        <v>172</v>
      </c>
      <c r="E732" t="s">
        <v>46</v>
      </c>
      <c r="F732" t="s">
        <v>32</v>
      </c>
      <c r="G732" t="s">
        <v>32</v>
      </c>
      <c r="H732" t="s">
        <v>173</v>
      </c>
      <c r="I732" t="s">
        <v>174</v>
      </c>
      <c r="J732">
        <v>0</v>
      </c>
      <c r="K732" t="s">
        <v>46</v>
      </c>
      <c r="L732">
        <v>10</v>
      </c>
      <c r="M732">
        <v>0</v>
      </c>
      <c r="N732" t="s">
        <v>282</v>
      </c>
      <c r="O732" t="s">
        <v>73</v>
      </c>
      <c r="P732" t="str">
        <f>INDEX(Teams!$B:$B,MATCH(E732,Teams!$A:$A,0))</f>
        <v>Royal Challengers Bangalore</v>
      </c>
      <c r="Q732" t="str">
        <f>INDEX(Teams!$B:$B,MATCH(F732,Teams!$A:$A,0))</f>
        <v>Kolkata Knight Riders</v>
      </c>
      <c r="R732" t="str">
        <f>INDEX(Teams!$B:$B,MATCH(G732,Teams!$A:$A,0))</f>
        <v>Kolkata Knight Riders</v>
      </c>
      <c r="S732" t="str">
        <f>IF(K732="","No result",INDEX(Teams!$B:$B,MATCH(K732,Teams!$A:$A,0)))</f>
        <v>Royal Challengers Bangalore</v>
      </c>
      <c r="T732" t="str">
        <f>INDEX(Venues!$B:$B,MATCH(O732,Venues!$A:$A,0))</f>
        <v>Eden Gardens</v>
      </c>
      <c r="U732" t="str">
        <f>INDEX(Venues!$C:$C,MATCH(O732,Venues!$A:$A,0))</f>
        <v>Kolkata</v>
      </c>
      <c r="V732" t="str">
        <f>IF(L732&gt;0,L732&amp;" runs",IF(M732&gt;0,M732&amp;" wickets","-"))</f>
        <v>10 runs</v>
      </c>
      <c r="W732">
        <f>IF(G732=K732,1,0)</f>
        <v>0</v>
      </c>
      <c r="X732">
        <f>IF(L732&gt;0,L732,"")</f>
        <v>10</v>
      </c>
      <c r="Y732">
        <f>IF(X732="","",IF(X732&gt;Stats!$B$15,"Outlier",""))</f>
        <v/>
      </c>
      <c r="Z732" t="str">
        <f>P732&amp;" vs "&amp;Q732</f>
        <v>Royal Challengers Bangalore vs Kolkata Knight Riders</v>
      </c>
    </row>
    <row r="733" spans="1:26" x14ac:dyDescent="0.25">
      <c r="A733">
        <v>11327</v>
      </c>
      <c r="B733">
        <v>2019</v>
      </c>
      <c r="C733" s="5">
        <v>43575</v>
      </c>
      <c r="D733" t="s">
        <v>172</v>
      </c>
      <c r="E733" t="s">
        <v>35</v>
      </c>
      <c r="F733" t="s">
        <v>41</v>
      </c>
      <c r="G733" t="s">
        <v>41</v>
      </c>
      <c r="H733" t="s">
        <v>173</v>
      </c>
      <c r="I733" t="s">
        <v>174</v>
      </c>
      <c r="J733">
        <v>0</v>
      </c>
      <c r="K733" t="s">
        <v>41</v>
      </c>
      <c r="L733">
        <v>0</v>
      </c>
      <c r="M733">
        <v>5</v>
      </c>
      <c r="N733" t="s">
        <v>297</v>
      </c>
      <c r="O733" t="s">
        <v>118</v>
      </c>
      <c r="P733" t="str">
        <f>INDEX(Teams!$B:$B,MATCH(E733,Teams!$A:$A,0))</f>
        <v>Mumbai Indians</v>
      </c>
      <c r="Q733" t="str">
        <f>INDEX(Teams!$B:$B,MATCH(F733,Teams!$A:$A,0))</f>
        <v>Rajasthan Royals</v>
      </c>
      <c r="R733" t="str">
        <f>INDEX(Teams!$B:$B,MATCH(G733,Teams!$A:$A,0))</f>
        <v>Rajasthan Royals</v>
      </c>
      <c r="S733" t="str">
        <f>IF(K733="","No result",INDEX(Teams!$B:$B,MATCH(K733,Teams!$A:$A,0)))</f>
        <v>Rajasthan Royals</v>
      </c>
      <c r="T733" t="str">
        <f>INDEX(Venues!$B:$B,MATCH(O733,Venues!$A:$A,0))</f>
        <v>Sawai Mansingh Stadium</v>
      </c>
      <c r="U733" t="str">
        <f>INDEX(Venues!$C:$C,MATCH(O733,Venues!$A:$A,0))</f>
        <v>Jaipur</v>
      </c>
      <c r="V733" t="str">
        <f>IF(L733&gt;0,L733&amp;" runs",IF(M733&gt;0,M733&amp;" wickets","-"))</f>
        <v>5 wickets</v>
      </c>
      <c r="W733">
        <f>IF(G733=K733,1,0)</f>
        <v>1</v>
      </c>
      <c r="X733">
        <f>IF(L733&gt;0,L733,"")</f>
        <v/>
      </c>
      <c r="Y733">
        <f>IF(X733="","",IF(X733&gt;Stats!$B$15,"Outlier",""))</f>
        <v/>
      </c>
      <c r="Z733" t="str">
        <f>P733&amp;" vs "&amp;Q733</f>
        <v>Mumbai Indians vs Rajasthan Royals</v>
      </c>
    </row>
    <row r="734" spans="1:26" x14ac:dyDescent="0.25">
      <c r="A734">
        <v>11328</v>
      </c>
      <c r="B734">
        <v>2019</v>
      </c>
      <c r="C734" s="5">
        <v>43575</v>
      </c>
      <c r="D734" t="s">
        <v>172</v>
      </c>
      <c r="E734" t="s">
        <v>26</v>
      </c>
      <c r="F734" t="s">
        <v>20</v>
      </c>
      <c r="G734" t="s">
        <v>20</v>
      </c>
      <c r="H734" t="s">
        <v>173</v>
      </c>
      <c r="I734" t="s">
        <v>174</v>
      </c>
      <c r="J734">
        <v>0</v>
      </c>
      <c r="K734" t="s">
        <v>20</v>
      </c>
      <c r="L734">
        <v>0</v>
      </c>
      <c r="M734">
        <v>5</v>
      </c>
      <c r="N734" t="s">
        <v>345</v>
      </c>
      <c r="O734" t="s">
        <v>75</v>
      </c>
      <c r="P734" t="str">
        <f>INDEX(Teams!$B:$B,MATCH(E734,Teams!$A:$A,0))</f>
        <v>Kings XI Punjab</v>
      </c>
      <c r="Q734" t="str">
        <f>INDEX(Teams!$B:$B,MATCH(F734,Teams!$A:$A,0))</f>
        <v>Delhi Capitals</v>
      </c>
      <c r="R734" t="str">
        <f>INDEX(Teams!$B:$B,MATCH(G734,Teams!$A:$A,0))</f>
        <v>Delhi Capitals</v>
      </c>
      <c r="S734" t="str">
        <f>IF(K734="","No result",INDEX(Teams!$B:$B,MATCH(K734,Teams!$A:$A,0)))</f>
        <v>Delhi Capitals</v>
      </c>
      <c r="T734" t="str">
        <f>INDEX(Venues!$B:$B,MATCH(O734,Venues!$A:$A,0))</f>
        <v>Feroz Shah Kotla</v>
      </c>
      <c r="U734" t="str">
        <f>INDEX(Venues!$C:$C,MATCH(O734,Venues!$A:$A,0))</f>
        <v>Delhi</v>
      </c>
      <c r="V734" t="str">
        <f>IF(L734&gt;0,L734&amp;" runs",IF(M734&gt;0,M734&amp;" wickets","-"))</f>
        <v>5 wickets</v>
      </c>
      <c r="W734">
        <f>IF(G734=K734,1,0)</f>
        <v>1</v>
      </c>
      <c r="X734">
        <f>IF(L734&gt;0,L734,"")</f>
        <v/>
      </c>
      <c r="Y734">
        <f>IF(X734="","",IF(X734&gt;Stats!$B$15,"Outlier",""))</f>
        <v/>
      </c>
      <c r="Z734" t="str">
        <f>P734&amp;" vs "&amp;Q734</f>
        <v>Kings XI Punjab vs Delhi Capitals</v>
      </c>
    </row>
    <row r="735" spans="1:26" x14ac:dyDescent="0.25">
      <c r="A735">
        <v>11329</v>
      </c>
      <c r="B735">
        <v>2019</v>
      </c>
      <c r="C735" s="5">
        <v>43576</v>
      </c>
      <c r="D735" t="s">
        <v>172</v>
      </c>
      <c r="E735" t="s">
        <v>32</v>
      </c>
      <c r="F735" t="s">
        <v>49</v>
      </c>
      <c r="G735" t="s">
        <v>49</v>
      </c>
      <c r="H735" t="s">
        <v>173</v>
      </c>
      <c r="I735" t="s">
        <v>174</v>
      </c>
      <c r="J735">
        <v>0</v>
      </c>
      <c r="K735" t="s">
        <v>49</v>
      </c>
      <c r="L735">
        <v>0</v>
      </c>
      <c r="M735">
        <v>9</v>
      </c>
      <c r="N735" t="s">
        <v>403</v>
      </c>
      <c r="O735" t="s">
        <v>111</v>
      </c>
      <c r="P735" t="str">
        <f>INDEX(Teams!$B:$B,MATCH(E735,Teams!$A:$A,0))</f>
        <v>Kolkata Knight Riders</v>
      </c>
      <c r="Q735" t="str">
        <f>INDEX(Teams!$B:$B,MATCH(F735,Teams!$A:$A,0))</f>
        <v>Sunrisers Hyderabad</v>
      </c>
      <c r="R735" t="str">
        <f>INDEX(Teams!$B:$B,MATCH(G735,Teams!$A:$A,0))</f>
        <v>Sunrisers Hyderabad</v>
      </c>
      <c r="S735" t="str">
        <f>IF(K735="","No result",INDEX(Teams!$B:$B,MATCH(K735,Teams!$A:$A,0)))</f>
        <v>Sunrisers Hyderabad</v>
      </c>
      <c r="T735" t="str">
        <f>INDEX(Venues!$B:$B,MATCH(O735,Venues!$A:$A,0))</f>
        <v>Rajiv Gandhi International Stadium</v>
      </c>
      <c r="U735" t="str">
        <f>INDEX(Venues!$C:$C,MATCH(O735,Venues!$A:$A,0))</f>
        <v>Hyderabad</v>
      </c>
      <c r="V735" t="str">
        <f>IF(L735&gt;0,L735&amp;" runs",IF(M735&gt;0,M735&amp;" wickets","-"))</f>
        <v>9 wickets</v>
      </c>
      <c r="W735">
        <f>IF(G735=K735,1,0)</f>
        <v>1</v>
      </c>
      <c r="X735">
        <f>IF(L735&gt;0,L735,"")</f>
        <v/>
      </c>
      <c r="Y735">
        <f>IF(X735="","",IF(X735&gt;Stats!$B$15,"Outlier",""))</f>
        <v/>
      </c>
      <c r="Z735" t="str">
        <f>P735&amp;" vs "&amp;Q735</f>
        <v>Kolkata Knight Riders vs Sunrisers Hyderabad</v>
      </c>
    </row>
    <row r="736" spans="1:26" x14ac:dyDescent="0.25">
      <c r="A736">
        <v>11330</v>
      </c>
      <c r="B736">
        <v>2019</v>
      </c>
      <c r="C736" s="5">
        <v>43576</v>
      </c>
      <c r="D736" t="s">
        <v>172</v>
      </c>
      <c r="E736" t="s">
        <v>46</v>
      </c>
      <c r="F736" t="s">
        <v>12</v>
      </c>
      <c r="G736" t="s">
        <v>12</v>
      </c>
      <c r="H736" t="s">
        <v>173</v>
      </c>
      <c r="I736" t="s">
        <v>174</v>
      </c>
      <c r="J736">
        <v>0</v>
      </c>
      <c r="K736" t="s">
        <v>46</v>
      </c>
      <c r="L736">
        <v>1</v>
      </c>
      <c r="M736">
        <v>0</v>
      </c>
      <c r="N736" t="s">
        <v>327</v>
      </c>
      <c r="O736" t="s">
        <v>92</v>
      </c>
      <c r="P736" t="str">
        <f>INDEX(Teams!$B:$B,MATCH(E736,Teams!$A:$A,0))</f>
        <v>Royal Challengers Bangalore</v>
      </c>
      <c r="Q736" t="str">
        <f>INDEX(Teams!$B:$B,MATCH(F736,Teams!$A:$A,0))</f>
        <v>Chennai Super Kings</v>
      </c>
      <c r="R736" t="str">
        <f>INDEX(Teams!$B:$B,MATCH(G736,Teams!$A:$A,0))</f>
        <v>Chennai Super Kings</v>
      </c>
      <c r="S736" t="str">
        <f>IF(K736="","No result",INDEX(Teams!$B:$B,MATCH(K736,Teams!$A:$A,0)))</f>
        <v>Royal Challengers Bangalore</v>
      </c>
      <c r="T736" t="str">
        <f>INDEX(Venues!$B:$B,MATCH(O736,Venues!$A:$A,0))</f>
        <v>M Chinnaswamy Stadium</v>
      </c>
      <c r="U736" t="str">
        <f>INDEX(Venues!$C:$C,MATCH(O736,Venues!$A:$A,0))</f>
        <v>Bangalore</v>
      </c>
      <c r="V736" t="str">
        <f>IF(L736&gt;0,L736&amp;" runs",IF(M736&gt;0,M736&amp;" wickets","-"))</f>
        <v>1 runs</v>
      </c>
      <c r="W736">
        <f>IF(G736=K736,1,0)</f>
        <v>0</v>
      </c>
      <c r="X736">
        <f>IF(L736&gt;0,L736,"")</f>
        <v>1</v>
      </c>
      <c r="Y736">
        <f>IF(X736="","",IF(X736&gt;Stats!$B$15,"Outlier",""))</f>
        <v/>
      </c>
      <c r="Z736" t="str">
        <f>P736&amp;" vs "&amp;Q736</f>
        <v>Royal Challengers Bangalore vs Chennai Super Kings</v>
      </c>
    </row>
    <row r="737" spans="1:26" x14ac:dyDescent="0.25">
      <c r="A737">
        <v>11331</v>
      </c>
      <c r="B737">
        <v>2019</v>
      </c>
      <c r="C737" s="5">
        <v>43577</v>
      </c>
      <c r="D737" t="s">
        <v>172</v>
      </c>
      <c r="E737" t="s">
        <v>41</v>
      </c>
      <c r="F737" t="s">
        <v>20</v>
      </c>
      <c r="G737" t="s">
        <v>20</v>
      </c>
      <c r="H737" t="s">
        <v>173</v>
      </c>
      <c r="I737" t="s">
        <v>174</v>
      </c>
      <c r="J737">
        <v>0</v>
      </c>
      <c r="K737" t="s">
        <v>20</v>
      </c>
      <c r="L737">
        <v>0</v>
      </c>
      <c r="M737">
        <v>6</v>
      </c>
      <c r="N737" t="s">
        <v>361</v>
      </c>
      <c r="O737" t="s">
        <v>118</v>
      </c>
      <c r="P737" t="str">
        <f>INDEX(Teams!$B:$B,MATCH(E737,Teams!$A:$A,0))</f>
        <v>Rajasthan Royals</v>
      </c>
      <c r="Q737" t="str">
        <f>INDEX(Teams!$B:$B,MATCH(F737,Teams!$A:$A,0))</f>
        <v>Delhi Capitals</v>
      </c>
      <c r="R737" t="str">
        <f>INDEX(Teams!$B:$B,MATCH(G737,Teams!$A:$A,0))</f>
        <v>Delhi Capitals</v>
      </c>
      <c r="S737" t="str">
        <f>IF(K737="","No result",INDEX(Teams!$B:$B,MATCH(K737,Teams!$A:$A,0)))</f>
        <v>Delhi Capitals</v>
      </c>
      <c r="T737" t="str">
        <f>INDEX(Venues!$B:$B,MATCH(O737,Venues!$A:$A,0))</f>
        <v>Sawai Mansingh Stadium</v>
      </c>
      <c r="U737" t="str">
        <f>INDEX(Venues!$C:$C,MATCH(O737,Venues!$A:$A,0))</f>
        <v>Jaipur</v>
      </c>
      <c r="V737" t="str">
        <f>IF(L737&gt;0,L737&amp;" runs",IF(M737&gt;0,M737&amp;" wickets","-"))</f>
        <v>6 wickets</v>
      </c>
      <c r="W737">
        <f>IF(G737=K737,1,0)</f>
        <v>1</v>
      </c>
      <c r="X737">
        <f>IF(L737&gt;0,L737,"")</f>
        <v/>
      </c>
      <c r="Y737">
        <f>IF(X737="","",IF(X737&gt;Stats!$B$15,"Outlier",""))</f>
        <v/>
      </c>
      <c r="Z737" t="str">
        <f>P737&amp;" vs "&amp;Q737</f>
        <v>Rajasthan Royals vs Delhi Capitals</v>
      </c>
    </row>
    <row r="738" spans="1:26" x14ac:dyDescent="0.25">
      <c r="A738">
        <v>11332</v>
      </c>
      <c r="B738">
        <v>2019</v>
      </c>
      <c r="C738" s="5">
        <v>43578</v>
      </c>
      <c r="D738" t="s">
        <v>172</v>
      </c>
      <c r="E738" t="s">
        <v>49</v>
      </c>
      <c r="F738" t="s">
        <v>12</v>
      </c>
      <c r="G738" t="s">
        <v>12</v>
      </c>
      <c r="H738" t="s">
        <v>173</v>
      </c>
      <c r="I738" t="s">
        <v>174</v>
      </c>
      <c r="J738">
        <v>0</v>
      </c>
      <c r="K738" t="s">
        <v>12</v>
      </c>
      <c r="L738">
        <v>0</v>
      </c>
      <c r="M738">
        <v>6</v>
      </c>
      <c r="N738" t="s">
        <v>181</v>
      </c>
      <c r="O738" t="s">
        <v>94</v>
      </c>
      <c r="P738" t="str">
        <f>INDEX(Teams!$B:$B,MATCH(E738,Teams!$A:$A,0))</f>
        <v>Sunrisers Hyderabad</v>
      </c>
      <c r="Q738" t="str">
        <f>INDEX(Teams!$B:$B,MATCH(F738,Teams!$A:$A,0))</f>
        <v>Chennai Super Kings</v>
      </c>
      <c r="R738" t="str">
        <f>INDEX(Teams!$B:$B,MATCH(G738,Teams!$A:$A,0))</f>
        <v>Chennai Super Kings</v>
      </c>
      <c r="S738" t="str">
        <f>IF(K738="","No result",INDEX(Teams!$B:$B,MATCH(K738,Teams!$A:$A,0)))</f>
        <v>Chennai Super Kings</v>
      </c>
      <c r="T738" t="str">
        <f>INDEX(Venues!$B:$B,MATCH(O738,Venues!$A:$A,0))</f>
        <v>MA Chidambaram Stadium</v>
      </c>
      <c r="U738" t="str">
        <f>INDEX(Venues!$C:$C,MATCH(O738,Venues!$A:$A,0))</f>
        <v>Chennai</v>
      </c>
      <c r="V738" t="str">
        <f>IF(L738&gt;0,L738&amp;" runs",IF(M738&gt;0,M738&amp;" wickets","-"))</f>
        <v>6 wickets</v>
      </c>
      <c r="W738">
        <f>IF(G738=K738,1,0)</f>
        <v>1</v>
      </c>
      <c r="X738">
        <f>IF(L738&gt;0,L738,"")</f>
        <v/>
      </c>
      <c r="Y738">
        <f>IF(X738="","",IF(X738&gt;Stats!$B$15,"Outlier",""))</f>
        <v/>
      </c>
      <c r="Z738" t="str">
        <f>P738&amp;" vs "&amp;Q738</f>
        <v>Sunrisers Hyderabad vs Chennai Super Kings</v>
      </c>
    </row>
    <row r="739" spans="1:26" x14ac:dyDescent="0.25">
      <c r="A739">
        <v>11333</v>
      </c>
      <c r="B739">
        <v>2019</v>
      </c>
      <c r="C739" s="5">
        <v>43579</v>
      </c>
      <c r="D739" t="s">
        <v>172</v>
      </c>
      <c r="E739" t="s">
        <v>46</v>
      </c>
      <c r="F739" t="s">
        <v>26</v>
      </c>
      <c r="G739" t="s">
        <v>26</v>
      </c>
      <c r="H739" t="s">
        <v>173</v>
      </c>
      <c r="I739" t="s">
        <v>174</v>
      </c>
      <c r="J739">
        <v>0</v>
      </c>
      <c r="K739" t="s">
        <v>46</v>
      </c>
      <c r="L739">
        <v>17</v>
      </c>
      <c r="M739">
        <v>0</v>
      </c>
      <c r="N739" t="s">
        <v>223</v>
      </c>
      <c r="O739" t="s">
        <v>92</v>
      </c>
      <c r="P739" t="str">
        <f>INDEX(Teams!$B:$B,MATCH(E739,Teams!$A:$A,0))</f>
        <v>Royal Challengers Bangalore</v>
      </c>
      <c r="Q739" t="str">
        <f>INDEX(Teams!$B:$B,MATCH(F739,Teams!$A:$A,0))</f>
        <v>Kings XI Punjab</v>
      </c>
      <c r="R739" t="str">
        <f>INDEX(Teams!$B:$B,MATCH(G739,Teams!$A:$A,0))</f>
        <v>Kings XI Punjab</v>
      </c>
      <c r="S739" t="str">
        <f>IF(K739="","No result",INDEX(Teams!$B:$B,MATCH(K739,Teams!$A:$A,0)))</f>
        <v>Royal Challengers Bangalore</v>
      </c>
      <c r="T739" t="str">
        <f>INDEX(Venues!$B:$B,MATCH(O739,Venues!$A:$A,0))</f>
        <v>M Chinnaswamy Stadium</v>
      </c>
      <c r="U739" t="str">
        <f>INDEX(Venues!$C:$C,MATCH(O739,Venues!$A:$A,0))</f>
        <v>Bangalore</v>
      </c>
      <c r="V739" t="str">
        <f>IF(L739&gt;0,L739&amp;" runs",IF(M739&gt;0,M739&amp;" wickets","-"))</f>
        <v>17 runs</v>
      </c>
      <c r="W739">
        <f>IF(G739=K739,1,0)</f>
        <v>0</v>
      </c>
      <c r="X739">
        <f>IF(L739&gt;0,L739,"")</f>
        <v>17</v>
      </c>
      <c r="Y739">
        <f>IF(X739="","",IF(X739&gt;Stats!$B$15,"Outlier",""))</f>
        <v/>
      </c>
      <c r="Z739" t="str">
        <f>P739&amp;" vs "&amp;Q739</f>
        <v>Royal Challengers Bangalore vs Kings XI Punjab</v>
      </c>
    </row>
    <row r="740" spans="1:26" x14ac:dyDescent="0.25">
      <c r="A740">
        <v>11334</v>
      </c>
      <c r="B740">
        <v>2019</v>
      </c>
      <c r="C740" s="5">
        <v>43580</v>
      </c>
      <c r="D740" t="s">
        <v>172</v>
      </c>
      <c r="E740" t="s">
        <v>32</v>
      </c>
      <c r="F740" t="s">
        <v>41</v>
      </c>
      <c r="G740" t="s">
        <v>41</v>
      </c>
      <c r="H740" t="s">
        <v>173</v>
      </c>
      <c r="I740" t="s">
        <v>174</v>
      </c>
      <c r="J740">
        <v>0</v>
      </c>
      <c r="K740" t="s">
        <v>41</v>
      </c>
      <c r="L740">
        <v>0</v>
      </c>
      <c r="M740">
        <v>3</v>
      </c>
      <c r="N740" t="s">
        <v>347</v>
      </c>
      <c r="O740" t="s">
        <v>73</v>
      </c>
      <c r="P740" t="str">
        <f>INDEX(Teams!$B:$B,MATCH(E740,Teams!$A:$A,0))</f>
        <v>Kolkata Knight Riders</v>
      </c>
      <c r="Q740" t="str">
        <f>INDEX(Teams!$B:$B,MATCH(F740,Teams!$A:$A,0))</f>
        <v>Rajasthan Royals</v>
      </c>
      <c r="R740" t="str">
        <f>INDEX(Teams!$B:$B,MATCH(G740,Teams!$A:$A,0))</f>
        <v>Rajasthan Royals</v>
      </c>
      <c r="S740" t="str">
        <f>IF(K740="","No result",INDEX(Teams!$B:$B,MATCH(K740,Teams!$A:$A,0)))</f>
        <v>Rajasthan Royals</v>
      </c>
      <c r="T740" t="str">
        <f>INDEX(Venues!$B:$B,MATCH(O740,Venues!$A:$A,0))</f>
        <v>Eden Gardens</v>
      </c>
      <c r="U740" t="str">
        <f>INDEX(Venues!$C:$C,MATCH(O740,Venues!$A:$A,0))</f>
        <v>Kolkata</v>
      </c>
      <c r="V740" t="str">
        <f>IF(L740&gt;0,L740&amp;" runs",IF(M740&gt;0,M740&amp;" wickets","-"))</f>
        <v>3 wickets</v>
      </c>
      <c r="W740">
        <f>IF(G740=K740,1,0)</f>
        <v>1</v>
      </c>
      <c r="X740">
        <f>IF(L740&gt;0,L740,"")</f>
        <v/>
      </c>
      <c r="Y740">
        <f>IF(X740="","",IF(X740&gt;Stats!$B$15,"Outlier",""))</f>
        <v/>
      </c>
      <c r="Z740" t="str">
        <f>P740&amp;" vs "&amp;Q740</f>
        <v>Kolkata Knight Riders vs Rajasthan Royals</v>
      </c>
    </row>
    <row r="741" spans="1:26" x14ac:dyDescent="0.25">
      <c r="A741">
        <v>11335</v>
      </c>
      <c r="B741">
        <v>2019</v>
      </c>
      <c r="C741" s="5">
        <v>43581</v>
      </c>
      <c r="D741" t="s">
        <v>172</v>
      </c>
      <c r="E741" t="s">
        <v>35</v>
      </c>
      <c r="F741" t="s">
        <v>12</v>
      </c>
      <c r="G741" t="s">
        <v>12</v>
      </c>
      <c r="H741" t="s">
        <v>173</v>
      </c>
      <c r="I741" t="s">
        <v>174</v>
      </c>
      <c r="J741">
        <v>0</v>
      </c>
      <c r="K741" t="s">
        <v>35</v>
      </c>
      <c r="L741">
        <v>46</v>
      </c>
      <c r="M741">
        <v>0</v>
      </c>
      <c r="N741" t="s">
        <v>235</v>
      </c>
      <c r="O741" t="s">
        <v>94</v>
      </c>
      <c r="P741" t="str">
        <f>INDEX(Teams!$B:$B,MATCH(E741,Teams!$A:$A,0))</f>
        <v>Mumbai Indians</v>
      </c>
      <c r="Q741" t="str">
        <f>INDEX(Teams!$B:$B,MATCH(F741,Teams!$A:$A,0))</f>
        <v>Chennai Super Kings</v>
      </c>
      <c r="R741" t="str">
        <f>INDEX(Teams!$B:$B,MATCH(G741,Teams!$A:$A,0))</f>
        <v>Chennai Super Kings</v>
      </c>
      <c r="S741" t="str">
        <f>IF(K741="","No result",INDEX(Teams!$B:$B,MATCH(K741,Teams!$A:$A,0)))</f>
        <v>Mumbai Indians</v>
      </c>
      <c r="T741" t="str">
        <f>INDEX(Venues!$B:$B,MATCH(O741,Venues!$A:$A,0))</f>
        <v>MA Chidambaram Stadium</v>
      </c>
      <c r="U741" t="str">
        <f>INDEX(Venues!$C:$C,MATCH(O741,Venues!$A:$A,0))</f>
        <v>Chennai</v>
      </c>
      <c r="V741" t="str">
        <f>IF(L741&gt;0,L741&amp;" runs",IF(M741&gt;0,M741&amp;" wickets","-"))</f>
        <v>46 runs</v>
      </c>
      <c r="W741">
        <f>IF(G741=K741,1,0)</f>
        <v>0</v>
      </c>
      <c r="X741">
        <f>IF(L741&gt;0,L741,"")</f>
        <v>46</v>
      </c>
      <c r="Y741">
        <f>IF(X741="","",IF(X741&gt;Stats!$B$15,"Outlier",""))</f>
        <v/>
      </c>
      <c r="Z741" t="str">
        <f>P741&amp;" vs "&amp;Q741</f>
        <v>Mumbai Indians vs Chennai Super Kings</v>
      </c>
    </row>
    <row r="742" spans="1:26" x14ac:dyDescent="0.25">
      <c r="A742">
        <v>11336</v>
      </c>
      <c r="B742">
        <v>2019</v>
      </c>
      <c r="C742" s="5">
        <v>43582</v>
      </c>
      <c r="D742" t="s">
        <v>172</v>
      </c>
      <c r="E742" t="s">
        <v>49</v>
      </c>
      <c r="F742" t="s">
        <v>41</v>
      </c>
      <c r="G742" t="s">
        <v>41</v>
      </c>
      <c r="H742" t="s">
        <v>173</v>
      </c>
      <c r="I742" t="s">
        <v>174</v>
      </c>
      <c r="J742">
        <v>0</v>
      </c>
      <c r="K742" t="s">
        <v>41</v>
      </c>
      <c r="L742">
        <v>0</v>
      </c>
      <c r="M742">
        <v>7</v>
      </c>
      <c r="N742" t="s">
        <v>271</v>
      </c>
      <c r="O742" t="s">
        <v>118</v>
      </c>
      <c r="P742" t="str">
        <f>INDEX(Teams!$B:$B,MATCH(E742,Teams!$A:$A,0))</f>
        <v>Sunrisers Hyderabad</v>
      </c>
      <c r="Q742" t="str">
        <f>INDEX(Teams!$B:$B,MATCH(F742,Teams!$A:$A,0))</f>
        <v>Rajasthan Royals</v>
      </c>
      <c r="R742" t="str">
        <f>INDEX(Teams!$B:$B,MATCH(G742,Teams!$A:$A,0))</f>
        <v>Rajasthan Royals</v>
      </c>
      <c r="S742" t="str">
        <f>IF(K742="","No result",INDEX(Teams!$B:$B,MATCH(K742,Teams!$A:$A,0)))</f>
        <v>Rajasthan Royals</v>
      </c>
      <c r="T742" t="str">
        <f>INDEX(Venues!$B:$B,MATCH(O742,Venues!$A:$A,0))</f>
        <v>Sawai Mansingh Stadium</v>
      </c>
      <c r="U742" t="str">
        <f>INDEX(Venues!$C:$C,MATCH(O742,Venues!$A:$A,0))</f>
        <v>Jaipur</v>
      </c>
      <c r="V742" t="str">
        <f>IF(L742&gt;0,L742&amp;" runs",IF(M742&gt;0,M742&amp;" wickets","-"))</f>
        <v>7 wickets</v>
      </c>
      <c r="W742">
        <f>IF(G742=K742,1,0)</f>
        <v>1</v>
      </c>
      <c r="X742">
        <f>IF(L742&gt;0,L742,"")</f>
        <v/>
      </c>
      <c r="Y742">
        <f>IF(X742="","",IF(X742&gt;Stats!$B$15,"Outlier",""))</f>
        <v/>
      </c>
      <c r="Z742" t="str">
        <f>P742&amp;" vs "&amp;Q742</f>
        <v>Sunrisers Hyderabad vs Rajasthan Royals</v>
      </c>
    </row>
    <row r="743" spans="1:26" x14ac:dyDescent="0.25">
      <c r="A743">
        <v>11337</v>
      </c>
      <c r="B743">
        <v>2019</v>
      </c>
      <c r="C743" s="5">
        <v>43583</v>
      </c>
      <c r="D743" t="s">
        <v>172</v>
      </c>
      <c r="E743" t="s">
        <v>20</v>
      </c>
      <c r="F743" t="s">
        <v>46</v>
      </c>
      <c r="G743" t="s">
        <v>20</v>
      </c>
      <c r="H743" t="s">
        <v>176</v>
      </c>
      <c r="I743" t="s">
        <v>174</v>
      </c>
      <c r="J743">
        <v>0</v>
      </c>
      <c r="K743" t="s">
        <v>20</v>
      </c>
      <c r="L743">
        <v>16</v>
      </c>
      <c r="M743">
        <v>0</v>
      </c>
      <c r="N743" t="s">
        <v>292</v>
      </c>
      <c r="O743" t="s">
        <v>75</v>
      </c>
      <c r="P743" t="str">
        <f>INDEX(Teams!$B:$B,MATCH(E743,Teams!$A:$A,0))</f>
        <v>Delhi Capitals</v>
      </c>
      <c r="Q743" t="str">
        <f>INDEX(Teams!$B:$B,MATCH(F743,Teams!$A:$A,0))</f>
        <v>Royal Challengers Bangalore</v>
      </c>
      <c r="R743" t="str">
        <f>INDEX(Teams!$B:$B,MATCH(G743,Teams!$A:$A,0))</f>
        <v>Delhi Capitals</v>
      </c>
      <c r="S743" t="str">
        <f>IF(K743="","No result",INDEX(Teams!$B:$B,MATCH(K743,Teams!$A:$A,0)))</f>
        <v>Delhi Capitals</v>
      </c>
      <c r="T743" t="str">
        <f>INDEX(Venues!$B:$B,MATCH(O743,Venues!$A:$A,0))</f>
        <v>Feroz Shah Kotla</v>
      </c>
      <c r="U743" t="str">
        <f>INDEX(Venues!$C:$C,MATCH(O743,Venues!$A:$A,0))</f>
        <v>Delhi</v>
      </c>
      <c r="V743" t="str">
        <f>IF(L743&gt;0,L743&amp;" runs",IF(M743&gt;0,M743&amp;" wickets","-"))</f>
        <v>16 runs</v>
      </c>
      <c r="W743">
        <f>IF(G743=K743,1,0)</f>
        <v>1</v>
      </c>
      <c r="X743">
        <f>IF(L743&gt;0,L743,"")</f>
        <v>16</v>
      </c>
      <c r="Y743">
        <f>IF(X743="","",IF(X743&gt;Stats!$B$15,"Outlier",""))</f>
        <v/>
      </c>
      <c r="Z743" t="str">
        <f>P743&amp;" vs "&amp;Q743</f>
        <v>Delhi Capitals vs Royal Challengers Bangalore</v>
      </c>
    </row>
    <row r="744" spans="1:26" x14ac:dyDescent="0.25">
      <c r="A744">
        <v>11338</v>
      </c>
      <c r="B744">
        <v>2019</v>
      </c>
      <c r="C744" s="5">
        <v>43583</v>
      </c>
      <c r="D744" t="s">
        <v>172</v>
      </c>
      <c r="E744" t="s">
        <v>32</v>
      </c>
      <c r="F744" t="s">
        <v>35</v>
      </c>
      <c r="G744" t="s">
        <v>35</v>
      </c>
      <c r="H744" t="s">
        <v>173</v>
      </c>
      <c r="I744" t="s">
        <v>174</v>
      </c>
      <c r="J744">
        <v>0</v>
      </c>
      <c r="K744" t="s">
        <v>32</v>
      </c>
      <c r="L744">
        <v>34</v>
      </c>
      <c r="M744">
        <v>0</v>
      </c>
      <c r="N744" t="s">
        <v>344</v>
      </c>
      <c r="O744" t="s">
        <v>73</v>
      </c>
      <c r="P744" t="str">
        <f>INDEX(Teams!$B:$B,MATCH(E744,Teams!$A:$A,0))</f>
        <v>Kolkata Knight Riders</v>
      </c>
      <c r="Q744" t="str">
        <f>INDEX(Teams!$B:$B,MATCH(F744,Teams!$A:$A,0))</f>
        <v>Mumbai Indians</v>
      </c>
      <c r="R744" t="str">
        <f>INDEX(Teams!$B:$B,MATCH(G744,Teams!$A:$A,0))</f>
        <v>Mumbai Indians</v>
      </c>
      <c r="S744" t="str">
        <f>IF(K744="","No result",INDEX(Teams!$B:$B,MATCH(K744,Teams!$A:$A,0)))</f>
        <v>Kolkata Knight Riders</v>
      </c>
      <c r="T744" t="str">
        <f>INDEX(Venues!$B:$B,MATCH(O744,Venues!$A:$A,0))</f>
        <v>Eden Gardens</v>
      </c>
      <c r="U744" t="str">
        <f>INDEX(Venues!$C:$C,MATCH(O744,Venues!$A:$A,0))</f>
        <v>Kolkata</v>
      </c>
      <c r="V744" t="str">
        <f>IF(L744&gt;0,L744&amp;" runs",IF(M744&gt;0,M744&amp;" wickets","-"))</f>
        <v>34 runs</v>
      </c>
      <c r="W744">
        <f>IF(G744=K744,1,0)</f>
        <v>0</v>
      </c>
      <c r="X744">
        <f>IF(L744&gt;0,L744,"")</f>
        <v>34</v>
      </c>
      <c r="Y744">
        <f>IF(X744="","",IF(X744&gt;Stats!$B$15,"Outlier",""))</f>
        <v/>
      </c>
      <c r="Z744" t="str">
        <f>P744&amp;" vs "&amp;Q744</f>
        <v>Kolkata Knight Riders vs Mumbai Indians</v>
      </c>
    </row>
    <row r="745" spans="1:26" x14ac:dyDescent="0.25">
      <c r="A745">
        <v>11339</v>
      </c>
      <c r="B745">
        <v>2019</v>
      </c>
      <c r="C745" s="5">
        <v>43584</v>
      </c>
      <c r="D745" t="s">
        <v>172</v>
      </c>
      <c r="E745" t="s">
        <v>49</v>
      </c>
      <c r="F745" t="s">
        <v>26</v>
      </c>
      <c r="G745" t="s">
        <v>26</v>
      </c>
      <c r="H745" t="s">
        <v>173</v>
      </c>
      <c r="I745" t="s">
        <v>174</v>
      </c>
      <c r="J745">
        <v>0</v>
      </c>
      <c r="K745" t="s">
        <v>49</v>
      </c>
      <c r="L745">
        <v>45</v>
      </c>
      <c r="M745">
        <v>0</v>
      </c>
      <c r="N745" t="s">
        <v>257</v>
      </c>
      <c r="O745" t="s">
        <v>111</v>
      </c>
      <c r="P745" t="str">
        <f>INDEX(Teams!$B:$B,MATCH(E745,Teams!$A:$A,0))</f>
        <v>Sunrisers Hyderabad</v>
      </c>
      <c r="Q745" t="str">
        <f>INDEX(Teams!$B:$B,MATCH(F745,Teams!$A:$A,0))</f>
        <v>Kings XI Punjab</v>
      </c>
      <c r="R745" t="str">
        <f>INDEX(Teams!$B:$B,MATCH(G745,Teams!$A:$A,0))</f>
        <v>Kings XI Punjab</v>
      </c>
      <c r="S745" t="str">
        <f>IF(K745="","No result",INDEX(Teams!$B:$B,MATCH(K745,Teams!$A:$A,0)))</f>
        <v>Sunrisers Hyderabad</v>
      </c>
      <c r="T745" t="str">
        <f>INDEX(Venues!$B:$B,MATCH(O745,Venues!$A:$A,0))</f>
        <v>Rajiv Gandhi International Stadium</v>
      </c>
      <c r="U745" t="str">
        <f>INDEX(Venues!$C:$C,MATCH(O745,Venues!$A:$A,0))</f>
        <v>Hyderabad</v>
      </c>
      <c r="V745" t="str">
        <f>IF(L745&gt;0,L745&amp;" runs",IF(M745&gt;0,M745&amp;" wickets","-"))</f>
        <v>45 runs</v>
      </c>
      <c r="W745">
        <f>IF(G745=K745,1,0)</f>
        <v>0</v>
      </c>
      <c r="X745">
        <f>IF(L745&gt;0,L745,"")</f>
        <v>45</v>
      </c>
      <c r="Y745">
        <f>IF(X745="","",IF(X745&gt;Stats!$B$15,"Outlier",""))</f>
        <v/>
      </c>
      <c r="Z745" t="str">
        <f>P745&amp;" vs "&amp;Q745</f>
        <v>Sunrisers Hyderabad vs Kings XI Punjab</v>
      </c>
    </row>
    <row r="746" spans="1:26" x14ac:dyDescent="0.25">
      <c r="A746">
        <v>11340</v>
      </c>
      <c r="B746">
        <v>2019</v>
      </c>
      <c r="C746" s="5">
        <v>43585</v>
      </c>
      <c r="D746" t="s">
        <v>172</v>
      </c>
      <c r="E746" t="s">
        <v>46</v>
      </c>
      <c r="F746" t="s">
        <v>41</v>
      </c>
      <c r="G746" t="s">
        <v>41</v>
      </c>
      <c r="H746" t="s">
        <v>173</v>
      </c>
      <c r="I746" t="s">
        <v>293</v>
      </c>
      <c r="J746">
        <v>0</v>
      </c>
      <c r="L746">
        <v>0</v>
      </c>
      <c r="M746">
        <v>0</v>
      </c>
      <c r="N746" t="s">
        <v>294</v>
      </c>
      <c r="O746" t="s">
        <v>92</v>
      </c>
      <c r="P746" t="str">
        <f>INDEX(Teams!$B:$B,MATCH(E746,Teams!$A:$A,0))</f>
        <v>Royal Challengers Bangalore</v>
      </c>
      <c r="Q746" t="str">
        <f>INDEX(Teams!$B:$B,MATCH(F746,Teams!$A:$A,0))</f>
        <v>Rajasthan Royals</v>
      </c>
      <c r="R746" t="str">
        <f>INDEX(Teams!$B:$B,MATCH(G746,Teams!$A:$A,0))</f>
        <v>Rajasthan Royals</v>
      </c>
      <c r="S746" t="str">
        <f>IF(K746="","No result",INDEX(Teams!$B:$B,MATCH(K746,Teams!$A:$A,0)))</f>
        <v>No result</v>
      </c>
      <c r="T746" t="str">
        <f>INDEX(Venues!$B:$B,MATCH(O746,Venues!$A:$A,0))</f>
        <v>M Chinnaswamy Stadium</v>
      </c>
      <c r="U746" t="str">
        <f>INDEX(Venues!$C:$C,MATCH(O746,Venues!$A:$A,0))</f>
        <v>Bangalore</v>
      </c>
      <c r="V746" t="str">
        <f>IF(L746&gt;0,L746&amp;" runs",IF(M746&gt;0,M746&amp;" wickets","-"))</f>
        <v>-</v>
      </c>
      <c r="W746">
        <f>IF(G746=K746,1,0)</f>
        <v>0</v>
      </c>
      <c r="X746">
        <f>IF(L746&gt;0,L746,"")</f>
        <v/>
      </c>
      <c r="Y746">
        <f>IF(X746="","",IF(X746&gt;Stats!$B$15,"Outlier",""))</f>
        <v/>
      </c>
      <c r="Z746" t="str">
        <f>P746&amp;" vs "&amp;Q746</f>
        <v>Royal Challengers Bangalore vs Rajasthan Royals</v>
      </c>
    </row>
    <row r="747" spans="1:26" x14ac:dyDescent="0.25">
      <c r="A747">
        <v>11341</v>
      </c>
      <c r="B747">
        <v>2019</v>
      </c>
      <c r="C747" s="5">
        <v>43586</v>
      </c>
      <c r="D747" t="s">
        <v>172</v>
      </c>
      <c r="E747" t="s">
        <v>12</v>
      </c>
      <c r="F747" t="s">
        <v>20</v>
      </c>
      <c r="G747" t="s">
        <v>20</v>
      </c>
      <c r="H747" t="s">
        <v>173</v>
      </c>
      <c r="I747" t="s">
        <v>174</v>
      </c>
      <c r="J747">
        <v>0</v>
      </c>
      <c r="K747" t="s">
        <v>12</v>
      </c>
      <c r="L747">
        <v>80</v>
      </c>
      <c r="M747">
        <v>0</v>
      </c>
      <c r="N747" t="s">
        <v>189</v>
      </c>
      <c r="O747" t="s">
        <v>94</v>
      </c>
      <c r="P747" t="str">
        <f>INDEX(Teams!$B:$B,MATCH(E747,Teams!$A:$A,0))</f>
        <v>Chennai Super Kings</v>
      </c>
      <c r="Q747" t="str">
        <f>INDEX(Teams!$B:$B,MATCH(F747,Teams!$A:$A,0))</f>
        <v>Delhi Capitals</v>
      </c>
      <c r="R747" t="str">
        <f>INDEX(Teams!$B:$B,MATCH(G747,Teams!$A:$A,0))</f>
        <v>Delhi Capitals</v>
      </c>
      <c r="S747" t="str">
        <f>IF(K747="","No result",INDEX(Teams!$B:$B,MATCH(K747,Teams!$A:$A,0)))</f>
        <v>Chennai Super Kings</v>
      </c>
      <c r="T747" t="str">
        <f>INDEX(Venues!$B:$B,MATCH(O747,Venues!$A:$A,0))</f>
        <v>MA Chidambaram Stadium</v>
      </c>
      <c r="U747" t="str">
        <f>INDEX(Venues!$C:$C,MATCH(O747,Venues!$A:$A,0))</f>
        <v>Chennai</v>
      </c>
      <c r="V747" t="str">
        <f>IF(L747&gt;0,L747&amp;" runs",IF(M747&gt;0,M747&amp;" wickets","-"))</f>
        <v>80 runs</v>
      </c>
      <c r="W747">
        <f>IF(G747=K747,1,0)</f>
        <v>0</v>
      </c>
      <c r="X747">
        <f>IF(L747&gt;0,L747,"")</f>
        <v>80</v>
      </c>
      <c r="Y747">
        <f>IF(X747="","",IF(X747&gt;Stats!$B$15,"Outlier",""))</f>
        <v/>
      </c>
      <c r="Z747" t="str">
        <f>P747&amp;" vs "&amp;Q747</f>
        <v>Chennai Super Kings vs Delhi Capitals</v>
      </c>
    </row>
    <row r="748" spans="1:26" x14ac:dyDescent="0.25">
      <c r="A748">
        <v>11342</v>
      </c>
      <c r="B748">
        <v>2019</v>
      </c>
      <c r="C748" s="5">
        <v>43587</v>
      </c>
      <c r="D748" t="s">
        <v>172</v>
      </c>
      <c r="E748" t="s">
        <v>35</v>
      </c>
      <c r="F748" t="s">
        <v>49</v>
      </c>
      <c r="G748" t="s">
        <v>35</v>
      </c>
      <c r="H748" t="s">
        <v>176</v>
      </c>
      <c r="I748" t="s">
        <v>224</v>
      </c>
      <c r="J748">
        <v>0</v>
      </c>
      <c r="K748" t="s">
        <v>35</v>
      </c>
      <c r="L748">
        <v>0</v>
      </c>
      <c r="M748">
        <v>0</v>
      </c>
      <c r="N748" t="s">
        <v>369</v>
      </c>
      <c r="O748" t="s">
        <v>138</v>
      </c>
      <c r="P748" t="str">
        <f>INDEX(Teams!$B:$B,MATCH(E748,Teams!$A:$A,0))</f>
        <v>Mumbai Indians</v>
      </c>
      <c r="Q748" t="str">
        <f>INDEX(Teams!$B:$B,MATCH(F748,Teams!$A:$A,0))</f>
        <v>Sunrisers Hyderabad</v>
      </c>
      <c r="R748" t="str">
        <f>INDEX(Teams!$B:$B,MATCH(G748,Teams!$A:$A,0))</f>
        <v>Mumbai Indians</v>
      </c>
      <c r="S748" t="str">
        <f>IF(K748="","No result",INDEX(Teams!$B:$B,MATCH(K748,Teams!$A:$A,0)))</f>
        <v>Mumbai Indians</v>
      </c>
      <c r="T748" t="str">
        <f>INDEX(Venues!$B:$B,MATCH(O748,Venues!$A:$A,0))</f>
        <v>Wankhede Stadium</v>
      </c>
      <c r="U748" t="str">
        <f>INDEX(Venues!$C:$C,MATCH(O748,Venues!$A:$A,0))</f>
        <v>Mumbai</v>
      </c>
      <c r="V748" t="str">
        <f>IF(L748&gt;0,L748&amp;" runs",IF(M748&gt;0,M748&amp;" wickets","-"))</f>
        <v>-</v>
      </c>
      <c r="W748">
        <f>IF(G748=K748,1,0)</f>
        <v>1</v>
      </c>
      <c r="X748">
        <f>IF(L748&gt;0,L748,"")</f>
        <v/>
      </c>
      <c r="Y748">
        <f>IF(X748="","",IF(X748&gt;Stats!$B$15,"Outlier",""))</f>
        <v/>
      </c>
      <c r="Z748" t="str">
        <f>P748&amp;" vs "&amp;Q748</f>
        <v>Mumbai Indians vs Sunrisers Hyderabad</v>
      </c>
    </row>
    <row r="749" spans="1:26" x14ac:dyDescent="0.25">
      <c r="A749">
        <v>11343</v>
      </c>
      <c r="B749">
        <v>2019</v>
      </c>
      <c r="C749" s="5">
        <v>43588</v>
      </c>
      <c r="D749" t="s">
        <v>172</v>
      </c>
      <c r="E749" t="s">
        <v>26</v>
      </c>
      <c r="F749" t="s">
        <v>32</v>
      </c>
      <c r="G749" t="s">
        <v>32</v>
      </c>
      <c r="H749" t="s">
        <v>173</v>
      </c>
      <c r="I749" t="s">
        <v>174</v>
      </c>
      <c r="J749">
        <v>0</v>
      </c>
      <c r="K749" t="s">
        <v>32</v>
      </c>
      <c r="L749">
        <v>0</v>
      </c>
      <c r="M749">
        <v>7</v>
      </c>
      <c r="N749" t="s">
        <v>404</v>
      </c>
      <c r="O749" t="s">
        <v>109</v>
      </c>
      <c r="P749" t="str">
        <f>INDEX(Teams!$B:$B,MATCH(E749,Teams!$A:$A,0))</f>
        <v>Kings XI Punjab</v>
      </c>
      <c r="Q749" t="str">
        <f>INDEX(Teams!$B:$B,MATCH(F749,Teams!$A:$A,0))</f>
        <v>Kolkata Knight Riders</v>
      </c>
      <c r="R749" t="str">
        <f>INDEX(Teams!$B:$B,MATCH(G749,Teams!$A:$A,0))</f>
        <v>Kolkata Knight Riders</v>
      </c>
      <c r="S749" t="str">
        <f>IF(K749="","No result",INDEX(Teams!$B:$B,MATCH(K749,Teams!$A:$A,0)))</f>
        <v>Kolkata Knight Riders</v>
      </c>
      <c r="T749" t="str">
        <f>INDEX(Venues!$B:$B,MATCH(O749,Venues!$A:$A,0))</f>
        <v>Punjab Cricket Association IS Bindra Stadium</v>
      </c>
      <c r="U749" t="str">
        <f>INDEX(Venues!$C:$C,MATCH(O749,Venues!$A:$A,0))</f>
        <v>Chandigarh</v>
      </c>
      <c r="V749" t="str">
        <f>IF(L749&gt;0,L749&amp;" runs",IF(M749&gt;0,M749&amp;" wickets","-"))</f>
        <v>7 wickets</v>
      </c>
      <c r="W749">
        <f>IF(G749=K749,1,0)</f>
        <v>1</v>
      </c>
      <c r="X749">
        <f>IF(L749&gt;0,L749,"")</f>
        <v/>
      </c>
      <c r="Y749">
        <f>IF(X749="","",IF(X749&gt;Stats!$B$15,"Outlier",""))</f>
        <v/>
      </c>
      <c r="Z749" t="str">
        <f>P749&amp;" vs "&amp;Q749</f>
        <v>Kings XI Punjab vs Kolkata Knight Riders</v>
      </c>
    </row>
    <row r="750" spans="1:26" x14ac:dyDescent="0.25">
      <c r="A750">
        <v>11344</v>
      </c>
      <c r="B750">
        <v>2019</v>
      </c>
      <c r="C750" s="5">
        <v>43589</v>
      </c>
      <c r="D750" t="s">
        <v>172</v>
      </c>
      <c r="E750" t="s">
        <v>41</v>
      </c>
      <c r="F750" t="s">
        <v>20</v>
      </c>
      <c r="G750" t="s">
        <v>41</v>
      </c>
      <c r="H750" t="s">
        <v>176</v>
      </c>
      <c r="I750" t="s">
        <v>174</v>
      </c>
      <c r="J750">
        <v>0</v>
      </c>
      <c r="K750" t="s">
        <v>20</v>
      </c>
      <c r="L750">
        <v>0</v>
      </c>
      <c r="M750">
        <v>5</v>
      </c>
      <c r="N750" t="s">
        <v>203</v>
      </c>
      <c r="O750" t="s">
        <v>75</v>
      </c>
      <c r="P750" t="str">
        <f>INDEX(Teams!$B:$B,MATCH(E750,Teams!$A:$A,0))</f>
        <v>Rajasthan Royals</v>
      </c>
      <c r="Q750" t="str">
        <f>INDEX(Teams!$B:$B,MATCH(F750,Teams!$A:$A,0))</f>
        <v>Delhi Capitals</v>
      </c>
      <c r="R750" t="str">
        <f>INDEX(Teams!$B:$B,MATCH(G750,Teams!$A:$A,0))</f>
        <v>Rajasthan Royals</v>
      </c>
      <c r="S750" t="str">
        <f>IF(K750="","No result",INDEX(Teams!$B:$B,MATCH(K750,Teams!$A:$A,0)))</f>
        <v>Delhi Capitals</v>
      </c>
      <c r="T750" t="str">
        <f>INDEX(Venues!$B:$B,MATCH(O750,Venues!$A:$A,0))</f>
        <v>Feroz Shah Kotla</v>
      </c>
      <c r="U750" t="str">
        <f>INDEX(Venues!$C:$C,MATCH(O750,Venues!$A:$A,0))</f>
        <v>Delhi</v>
      </c>
      <c r="V750" t="str">
        <f>IF(L750&gt;0,L750&amp;" runs",IF(M750&gt;0,M750&amp;" wickets","-"))</f>
        <v>5 wickets</v>
      </c>
      <c r="W750">
        <f>IF(G750=K750,1,0)</f>
        <v>0</v>
      </c>
      <c r="X750">
        <f>IF(L750&gt;0,L750,"")</f>
        <v/>
      </c>
      <c r="Y750">
        <f>IF(X750="","",IF(X750&gt;Stats!$B$15,"Outlier",""))</f>
        <v/>
      </c>
      <c r="Z750" t="str">
        <f>P750&amp;" vs "&amp;Q750</f>
        <v>Rajasthan Royals vs Delhi Capitals</v>
      </c>
    </row>
    <row r="751" spans="1:26" x14ac:dyDescent="0.25">
      <c r="A751">
        <v>11345</v>
      </c>
      <c r="B751">
        <v>2019</v>
      </c>
      <c r="C751" s="5">
        <v>43589</v>
      </c>
      <c r="D751" t="s">
        <v>172</v>
      </c>
      <c r="E751" t="s">
        <v>49</v>
      </c>
      <c r="F751" t="s">
        <v>46</v>
      </c>
      <c r="G751" t="s">
        <v>46</v>
      </c>
      <c r="H751" t="s">
        <v>173</v>
      </c>
      <c r="I751" t="s">
        <v>174</v>
      </c>
      <c r="J751">
        <v>0</v>
      </c>
      <c r="K751" t="s">
        <v>46</v>
      </c>
      <c r="L751">
        <v>0</v>
      </c>
      <c r="M751">
        <v>4</v>
      </c>
      <c r="N751" t="s">
        <v>405</v>
      </c>
      <c r="O751" t="s">
        <v>92</v>
      </c>
      <c r="P751" t="str">
        <f>INDEX(Teams!$B:$B,MATCH(E751,Teams!$A:$A,0))</f>
        <v>Sunrisers Hyderabad</v>
      </c>
      <c r="Q751" t="str">
        <f>INDEX(Teams!$B:$B,MATCH(F751,Teams!$A:$A,0))</f>
        <v>Royal Challengers Bangalore</v>
      </c>
      <c r="R751" t="str">
        <f>INDEX(Teams!$B:$B,MATCH(G751,Teams!$A:$A,0))</f>
        <v>Royal Challengers Bangalore</v>
      </c>
      <c r="S751" t="str">
        <f>IF(K751="","No result",INDEX(Teams!$B:$B,MATCH(K751,Teams!$A:$A,0)))</f>
        <v>Royal Challengers Bangalore</v>
      </c>
      <c r="T751" t="str">
        <f>INDEX(Venues!$B:$B,MATCH(O751,Venues!$A:$A,0))</f>
        <v>M Chinnaswamy Stadium</v>
      </c>
      <c r="U751" t="str">
        <f>INDEX(Venues!$C:$C,MATCH(O751,Venues!$A:$A,0))</f>
        <v>Bangalore</v>
      </c>
      <c r="V751" t="str">
        <f>IF(L751&gt;0,L751&amp;" runs",IF(M751&gt;0,M751&amp;" wickets","-"))</f>
        <v>4 wickets</v>
      </c>
      <c r="W751">
        <f>IF(G751=K751,1,0)</f>
        <v>1</v>
      </c>
      <c r="X751">
        <f>IF(L751&gt;0,L751,"")</f>
        <v/>
      </c>
      <c r="Y751">
        <f>IF(X751="","",IF(X751&gt;Stats!$B$15,"Outlier",""))</f>
        <v/>
      </c>
      <c r="Z751" t="str">
        <f>P751&amp;" vs "&amp;Q751</f>
        <v>Sunrisers Hyderabad vs Royal Challengers Bangalore</v>
      </c>
    </row>
    <row r="752" spans="1:26" x14ac:dyDescent="0.25">
      <c r="A752">
        <v>11346</v>
      </c>
      <c r="B752">
        <v>2019</v>
      </c>
      <c r="C752" s="5">
        <v>43590</v>
      </c>
      <c r="D752" t="s">
        <v>172</v>
      </c>
      <c r="E752" t="s">
        <v>12</v>
      </c>
      <c r="F752" t="s">
        <v>26</v>
      </c>
      <c r="G752" t="s">
        <v>26</v>
      </c>
      <c r="H752" t="s">
        <v>173</v>
      </c>
      <c r="I752" t="s">
        <v>174</v>
      </c>
      <c r="J752">
        <v>0</v>
      </c>
      <c r="K752" t="s">
        <v>26</v>
      </c>
      <c r="L752">
        <v>0</v>
      </c>
      <c r="M752">
        <v>6</v>
      </c>
      <c r="N752" t="s">
        <v>381</v>
      </c>
      <c r="O752" t="s">
        <v>109</v>
      </c>
      <c r="P752" t="str">
        <f>INDEX(Teams!$B:$B,MATCH(E752,Teams!$A:$A,0))</f>
        <v>Chennai Super Kings</v>
      </c>
      <c r="Q752" t="str">
        <f>INDEX(Teams!$B:$B,MATCH(F752,Teams!$A:$A,0))</f>
        <v>Kings XI Punjab</v>
      </c>
      <c r="R752" t="str">
        <f>INDEX(Teams!$B:$B,MATCH(G752,Teams!$A:$A,0))</f>
        <v>Kings XI Punjab</v>
      </c>
      <c r="S752" t="str">
        <f>IF(K752="","No result",INDEX(Teams!$B:$B,MATCH(K752,Teams!$A:$A,0)))</f>
        <v>Kings XI Punjab</v>
      </c>
      <c r="T752" t="str">
        <f>INDEX(Venues!$B:$B,MATCH(O752,Venues!$A:$A,0))</f>
        <v>Punjab Cricket Association IS Bindra Stadium</v>
      </c>
      <c r="U752" t="str">
        <f>INDEX(Venues!$C:$C,MATCH(O752,Venues!$A:$A,0))</f>
        <v>Chandigarh</v>
      </c>
      <c r="V752" t="str">
        <f>IF(L752&gt;0,L752&amp;" runs",IF(M752&gt;0,M752&amp;" wickets","-"))</f>
        <v>6 wickets</v>
      </c>
      <c r="W752">
        <f>IF(G752=K752,1,0)</f>
        <v>1</v>
      </c>
      <c r="X752">
        <f>IF(L752&gt;0,L752,"")</f>
        <v/>
      </c>
      <c r="Y752">
        <f>IF(X752="","",IF(X752&gt;Stats!$B$15,"Outlier",""))</f>
        <v/>
      </c>
      <c r="Z752" t="str">
        <f>P752&amp;" vs "&amp;Q752</f>
        <v>Chennai Super Kings vs Kings XI Punjab</v>
      </c>
    </row>
    <row r="753" spans="1:26" x14ac:dyDescent="0.25">
      <c r="A753">
        <v>11347</v>
      </c>
      <c r="B753">
        <v>2019</v>
      </c>
      <c r="C753" s="5">
        <v>43590</v>
      </c>
      <c r="D753" t="s">
        <v>172</v>
      </c>
      <c r="E753" t="s">
        <v>32</v>
      </c>
      <c r="F753" t="s">
        <v>35</v>
      </c>
      <c r="G753" t="s">
        <v>35</v>
      </c>
      <c r="H753" t="s">
        <v>173</v>
      </c>
      <c r="I753" t="s">
        <v>174</v>
      </c>
      <c r="J753">
        <v>0</v>
      </c>
      <c r="K753" t="s">
        <v>35</v>
      </c>
      <c r="L753">
        <v>0</v>
      </c>
      <c r="M753">
        <v>9</v>
      </c>
      <c r="N753" t="s">
        <v>351</v>
      </c>
      <c r="O753" t="s">
        <v>138</v>
      </c>
      <c r="P753" t="str">
        <f>INDEX(Teams!$B:$B,MATCH(E753,Teams!$A:$A,0))</f>
        <v>Kolkata Knight Riders</v>
      </c>
      <c r="Q753" t="str">
        <f>INDEX(Teams!$B:$B,MATCH(F753,Teams!$A:$A,0))</f>
        <v>Mumbai Indians</v>
      </c>
      <c r="R753" t="str">
        <f>INDEX(Teams!$B:$B,MATCH(G753,Teams!$A:$A,0))</f>
        <v>Mumbai Indians</v>
      </c>
      <c r="S753" t="str">
        <f>IF(K753="","No result",INDEX(Teams!$B:$B,MATCH(K753,Teams!$A:$A,0)))</f>
        <v>Mumbai Indians</v>
      </c>
      <c r="T753" t="str">
        <f>INDEX(Venues!$B:$B,MATCH(O753,Venues!$A:$A,0))</f>
        <v>Wankhede Stadium</v>
      </c>
      <c r="U753" t="str">
        <f>INDEX(Venues!$C:$C,MATCH(O753,Venues!$A:$A,0))</f>
        <v>Mumbai</v>
      </c>
      <c r="V753" t="str">
        <f>IF(L753&gt;0,L753&amp;" runs",IF(M753&gt;0,M753&amp;" wickets","-"))</f>
        <v>9 wickets</v>
      </c>
      <c r="W753">
        <f>IF(G753=K753,1,0)</f>
        <v>1</v>
      </c>
      <c r="X753">
        <f>IF(L753&gt;0,L753,"")</f>
        <v/>
      </c>
      <c r="Y753">
        <f>IF(X753="","",IF(X753&gt;Stats!$B$15,"Outlier",""))</f>
        <v/>
      </c>
      <c r="Z753" t="str">
        <f>P753&amp;" vs "&amp;Q753</f>
        <v>Kolkata Knight Riders vs Mumbai Indians</v>
      </c>
    </row>
    <row r="754" spans="1:26" x14ac:dyDescent="0.25">
      <c r="A754">
        <v>11412</v>
      </c>
      <c r="B754">
        <v>2019</v>
      </c>
      <c r="C754" s="5">
        <v>43592</v>
      </c>
      <c r="D754" t="s">
        <v>172</v>
      </c>
      <c r="E754" t="s">
        <v>12</v>
      </c>
      <c r="F754" t="s">
        <v>35</v>
      </c>
      <c r="G754" t="s">
        <v>12</v>
      </c>
      <c r="H754" t="s">
        <v>176</v>
      </c>
      <c r="I754" t="s">
        <v>174</v>
      </c>
      <c r="J754">
        <v>0</v>
      </c>
      <c r="K754" t="s">
        <v>35</v>
      </c>
      <c r="L754">
        <v>0</v>
      </c>
      <c r="M754">
        <v>6</v>
      </c>
      <c r="N754" t="s">
        <v>388</v>
      </c>
      <c r="O754" t="s">
        <v>94</v>
      </c>
      <c r="P754" t="str">
        <f>INDEX(Teams!$B:$B,MATCH(E754,Teams!$A:$A,0))</f>
        <v>Chennai Super Kings</v>
      </c>
      <c r="Q754" t="str">
        <f>INDEX(Teams!$B:$B,MATCH(F754,Teams!$A:$A,0))</f>
        <v>Mumbai Indians</v>
      </c>
      <c r="R754" t="str">
        <f>INDEX(Teams!$B:$B,MATCH(G754,Teams!$A:$A,0))</f>
        <v>Chennai Super Kings</v>
      </c>
      <c r="S754" t="str">
        <f>IF(K754="","No result",INDEX(Teams!$B:$B,MATCH(K754,Teams!$A:$A,0)))</f>
        <v>Mumbai Indians</v>
      </c>
      <c r="T754" t="str">
        <f>INDEX(Venues!$B:$B,MATCH(O754,Venues!$A:$A,0))</f>
        <v>MA Chidambaram Stadium</v>
      </c>
      <c r="U754" t="str">
        <f>INDEX(Venues!$C:$C,MATCH(O754,Venues!$A:$A,0))</f>
        <v>Chennai</v>
      </c>
      <c r="V754" t="str">
        <f>IF(L754&gt;0,L754&amp;" runs",IF(M754&gt;0,M754&amp;" wickets","-"))</f>
        <v>6 wickets</v>
      </c>
      <c r="W754">
        <f>IF(G754=K754,1,0)</f>
        <v>0</v>
      </c>
      <c r="X754">
        <f>IF(L754&gt;0,L754,"")</f>
        <v/>
      </c>
      <c r="Y754">
        <f>IF(X754="","",IF(X754&gt;Stats!$B$15,"Outlier",""))</f>
        <v/>
      </c>
      <c r="Z754" t="str">
        <f>P754&amp;" vs "&amp;Q754</f>
        <v>Chennai Super Kings vs Mumbai Indians</v>
      </c>
    </row>
    <row r="755" spans="1:26" x14ac:dyDescent="0.25">
      <c r="A755">
        <v>11413</v>
      </c>
      <c r="B755">
        <v>2019</v>
      </c>
      <c r="C755" s="5">
        <v>43593</v>
      </c>
      <c r="D755" t="s">
        <v>172</v>
      </c>
      <c r="E755" t="s">
        <v>49</v>
      </c>
      <c r="F755" t="s">
        <v>20</v>
      </c>
      <c r="G755" t="s">
        <v>20</v>
      </c>
      <c r="H755" t="s">
        <v>173</v>
      </c>
      <c r="I755" t="s">
        <v>174</v>
      </c>
      <c r="J755">
        <v>0</v>
      </c>
      <c r="K755" t="s">
        <v>20</v>
      </c>
      <c r="L755">
        <v>0</v>
      </c>
      <c r="M755">
        <v>2</v>
      </c>
      <c r="N755" t="s">
        <v>361</v>
      </c>
      <c r="O755" t="s">
        <v>67</v>
      </c>
      <c r="P755" t="str">
        <f>INDEX(Teams!$B:$B,MATCH(E755,Teams!$A:$A,0))</f>
        <v>Sunrisers Hyderabad</v>
      </c>
      <c r="Q755" t="str">
        <f>INDEX(Teams!$B:$B,MATCH(F755,Teams!$A:$A,0))</f>
        <v>Delhi Capitals</v>
      </c>
      <c r="R755" t="str">
        <f>INDEX(Teams!$B:$B,MATCH(G755,Teams!$A:$A,0))</f>
        <v>Delhi Capitals</v>
      </c>
      <c r="S755" t="str">
        <f>IF(K755="","No result",INDEX(Teams!$B:$B,MATCH(K755,Teams!$A:$A,0)))</f>
        <v>Delhi Capitals</v>
      </c>
      <c r="T755" t="str">
        <f>INDEX(Venues!$B:$B,MATCH(O755,Venues!$A:$A,0))</f>
        <v>Dr. Y.S. Rajasekhara Reddy ACA-VDCA Cricket Stadium</v>
      </c>
      <c r="U755" t="str">
        <f>INDEX(Venues!$C:$C,MATCH(O755,Venues!$A:$A,0))</f>
        <v>Visakhapatnam</v>
      </c>
      <c r="V755" t="str">
        <f>IF(L755&gt;0,L755&amp;" runs",IF(M755&gt;0,M755&amp;" wickets","-"))</f>
        <v>2 wickets</v>
      </c>
      <c r="W755">
        <f>IF(G755=K755,1,0)</f>
        <v>1</v>
      </c>
      <c r="X755">
        <f>IF(L755&gt;0,L755,"")</f>
        <v/>
      </c>
      <c r="Y755">
        <f>IF(X755="","",IF(X755&gt;Stats!$B$15,"Outlier",""))</f>
        <v/>
      </c>
      <c r="Z755" t="str">
        <f>P755&amp;" vs "&amp;Q755</f>
        <v>Sunrisers Hyderabad vs Delhi Capitals</v>
      </c>
    </row>
    <row r="756" spans="1:26" x14ac:dyDescent="0.25">
      <c r="A756">
        <v>11414</v>
      </c>
      <c r="B756">
        <v>2019</v>
      </c>
      <c r="C756" s="5">
        <v>43595</v>
      </c>
      <c r="D756" t="s">
        <v>172</v>
      </c>
      <c r="E756" t="s">
        <v>20</v>
      </c>
      <c r="F756" t="s">
        <v>12</v>
      </c>
      <c r="G756" t="s">
        <v>12</v>
      </c>
      <c r="H756" t="s">
        <v>173</v>
      </c>
      <c r="I756" t="s">
        <v>174</v>
      </c>
      <c r="J756">
        <v>0</v>
      </c>
      <c r="K756" t="s">
        <v>12</v>
      </c>
      <c r="L756">
        <v>0</v>
      </c>
      <c r="M756">
        <v>6</v>
      </c>
      <c r="N756" t="s">
        <v>302</v>
      </c>
      <c r="O756" t="s">
        <v>67</v>
      </c>
      <c r="P756" t="str">
        <f>INDEX(Teams!$B:$B,MATCH(E756,Teams!$A:$A,0))</f>
        <v>Delhi Capitals</v>
      </c>
      <c r="Q756" t="str">
        <f>INDEX(Teams!$B:$B,MATCH(F756,Teams!$A:$A,0))</f>
        <v>Chennai Super Kings</v>
      </c>
      <c r="R756" t="str">
        <f>INDEX(Teams!$B:$B,MATCH(G756,Teams!$A:$A,0))</f>
        <v>Chennai Super Kings</v>
      </c>
      <c r="S756" t="str">
        <f>IF(K756="","No result",INDEX(Teams!$B:$B,MATCH(K756,Teams!$A:$A,0)))</f>
        <v>Chennai Super Kings</v>
      </c>
      <c r="T756" t="str">
        <f>INDEX(Venues!$B:$B,MATCH(O756,Venues!$A:$A,0))</f>
        <v>Dr. Y.S. Rajasekhara Reddy ACA-VDCA Cricket Stadium</v>
      </c>
      <c r="U756" t="str">
        <f>INDEX(Venues!$C:$C,MATCH(O756,Venues!$A:$A,0))</f>
        <v>Visakhapatnam</v>
      </c>
      <c r="V756" t="str">
        <f>IF(L756&gt;0,L756&amp;" runs",IF(M756&gt;0,M756&amp;" wickets","-"))</f>
        <v>6 wickets</v>
      </c>
      <c r="W756">
        <f>IF(G756=K756,1,0)</f>
        <v>1</v>
      </c>
      <c r="X756">
        <f>IF(L756&gt;0,L756,"")</f>
        <v/>
      </c>
      <c r="Y756">
        <f>IF(X756="","",IF(X756&gt;Stats!$B$15,"Outlier",""))</f>
        <v/>
      </c>
      <c r="Z756" t="str">
        <f>P756&amp;" vs "&amp;Q756</f>
        <v>Delhi Capitals vs Chennai Super Kings</v>
      </c>
    </row>
    <row r="757" spans="1:26" x14ac:dyDescent="0.25">
      <c r="A757">
        <v>11415</v>
      </c>
      <c r="B757">
        <v>2019</v>
      </c>
      <c r="C757" s="5">
        <v>43597</v>
      </c>
      <c r="D757" t="s">
        <v>216</v>
      </c>
      <c r="E757" t="s">
        <v>35</v>
      </c>
      <c r="F757" t="s">
        <v>12</v>
      </c>
      <c r="G757" t="s">
        <v>35</v>
      </c>
      <c r="H757" t="s">
        <v>176</v>
      </c>
      <c r="I757" t="s">
        <v>174</v>
      </c>
      <c r="J757">
        <v>0</v>
      </c>
      <c r="K757" t="s">
        <v>35</v>
      </c>
      <c r="L757">
        <v>1</v>
      </c>
      <c r="M757">
        <v>0</v>
      </c>
      <c r="N757" t="s">
        <v>369</v>
      </c>
      <c r="O757" t="s">
        <v>111</v>
      </c>
      <c r="P757" t="str">
        <f>INDEX(Teams!$B:$B,MATCH(E757,Teams!$A:$A,0))</f>
        <v>Mumbai Indians</v>
      </c>
      <c r="Q757" t="str">
        <f>INDEX(Teams!$B:$B,MATCH(F757,Teams!$A:$A,0))</f>
        <v>Chennai Super Kings</v>
      </c>
      <c r="R757" t="str">
        <f>INDEX(Teams!$B:$B,MATCH(G757,Teams!$A:$A,0))</f>
        <v>Mumbai Indians</v>
      </c>
      <c r="S757" t="str">
        <f>IF(K757="","No result",INDEX(Teams!$B:$B,MATCH(K757,Teams!$A:$A,0)))</f>
        <v>Mumbai Indians</v>
      </c>
      <c r="T757" t="str">
        <f>INDEX(Venues!$B:$B,MATCH(O757,Venues!$A:$A,0))</f>
        <v>Rajiv Gandhi International Stadium</v>
      </c>
      <c r="U757" t="str">
        <f>INDEX(Venues!$C:$C,MATCH(O757,Venues!$A:$A,0))</f>
        <v>Hyderabad</v>
      </c>
      <c r="V757" t="str">
        <f>IF(L757&gt;0,L757&amp;" runs",IF(M757&gt;0,M757&amp;" wickets","-"))</f>
        <v>1 runs</v>
      </c>
      <c r="W757">
        <f>IF(G757=K757,1,0)</f>
        <v>1</v>
      </c>
      <c r="X757">
        <f>IF(L757&gt;0,L757,"")</f>
        <v>1</v>
      </c>
      <c r="Y757">
        <f>IF(X757="","",IF(X757&gt;Stats!$B$15,"Outlier",""))</f>
        <v/>
      </c>
      <c r="Z757" t="str">
        <f>P757&amp;" vs "&amp;Q757</f>
        <v>Mumbai Indians vs Chennai Super Kings</v>
      </c>
    </row>
  </sheetData>
  <autoFilter ref="A1:Z757"/>
  <conditionalFormatting sqref="L2:L757">
    <cfRule type="dataBar" priority="2">
      <dataBar>
        <cfvo type="min"/>
        <cfvo type="max"/>
        <color rgb="FF9DC3E6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Y2:Y757">
    <cfRule type="cellIs" dxfId="0" priority="1" operator="equal">
      <formula>"Outlier"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9DC3E6"/>
              <x14:negativeFillColor rgb="FFFF0000"/>
              <x14:negativeBorderColor rgb="FFFF0000"/>
              <x14:axisColor rgb="FF000000"/>
            </x14:dataBar>
          </x14:cfRule>
          <xm:sqref>L2:L757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/>
  </sheetViews>
  <sheetFormatPr defaultRowHeight="15" x14ac:dyDescent="0.25"/>
  <cols>
    <col min="1" max="1" width="30.7109375" customWidth="1"/>
    <col min="2" max="6" width="13.7109375" customWidth="1"/>
    <col min="8" max="8" width="9.7109375" customWidth="1"/>
    <col min="9" max="13" width="14.7109375" customWidth="1"/>
  </cols>
  <sheetData>
    <row r="1" spans="1:13" x14ac:dyDescent="0.25">
      <c r="A1" s="1" t="s">
        <v>406</v>
      </c>
    </row>
    <row r="3" spans="1:13" x14ac:dyDescent="0.25">
      <c r="A3" s="3" t="s">
        <v>407</v>
      </c>
      <c r="B3">
        <f>COUNTA(Matches!$A$2:$A$757)</f>
        <v>756</v>
      </c>
      <c r="H3" s="4" t="s">
        <v>417</v>
      </c>
      <c r="I3" s="4" t="s">
        <v>407</v>
      </c>
      <c r="J3" s="4" t="s">
        <v>418</v>
      </c>
      <c r="K3" s="4" t="s">
        <v>419</v>
      </c>
      <c r="L3" s="4" t="s">
        <v>420</v>
      </c>
      <c r="M3" s="4" t="s">
        <v>421</v>
      </c>
    </row>
    <row r="4" spans="1:13" x14ac:dyDescent="0.25">
      <c r="A4" s="3" t="s">
        <v>408</v>
      </c>
      <c r="B4">
        <f>COUNTA(Matches!$K$2:$K$757)</f>
        <v>752</v>
      </c>
      <c r="H4">
        <v>2008</v>
      </c>
      <c r="I4">
        <f>COUNTIFS(Matches!$B$2:$B$757,H4)</f>
        <v>58</v>
      </c>
      <c r="J4" s="6">
        <f>COUNTIFS(Matches!$B$2:$B$757,H4,Matches!$H$2:$H$757,"field")/I4</f>
        <v>0.5517241379310345</v>
      </c>
      <c r="K4">
        <f>COUNTIFS(Matches!$B$2:$B$757,H4,Matches!$L$2:$L$757,"&gt;0")</f>
        <v>24</v>
      </c>
      <c r="L4">
        <f>COUNTIFS(Matches!$B$2:$B$757,H4,Matches!$M$2:$M$757,"&gt;0")</f>
        <v>34</v>
      </c>
      <c r="M4" s="6">
        <f>L4/(K4+L4)</f>
        <v>0.5862068965517241</v>
      </c>
    </row>
    <row r="5" spans="1:13" x14ac:dyDescent="0.25">
      <c r="A5" s="3" t="s">
        <v>409</v>
      </c>
      <c r="B5" s="6">
        <f>SUM(Matches!$W$2:$W$757)/B4</f>
        <v>0.5226063829787234</v>
      </c>
      <c r="H5">
        <v>2009</v>
      </c>
      <c r="I5">
        <f>COUNTIFS(Matches!$B$2:$B$757,H5)</f>
        <v>57</v>
      </c>
      <c r="J5" s="6">
        <f>COUNTIFS(Matches!$B$2:$B$757,H5,Matches!$H$2:$H$757,"field")/I5</f>
        <v>0.38596491228070173</v>
      </c>
      <c r="K5">
        <f>COUNTIFS(Matches!$B$2:$B$757,H5,Matches!$L$2:$L$757,"&gt;0")</f>
        <v>27</v>
      </c>
      <c r="L5">
        <f>COUNTIFS(Matches!$B$2:$B$757,H5,Matches!$M$2:$M$757,"&gt;0")</f>
        <v>29</v>
      </c>
      <c r="M5" s="6">
        <f>L5/(K5+L5)</f>
        <v>0.5178571428571429</v>
      </c>
    </row>
    <row r="6" spans="1:13" x14ac:dyDescent="0.25">
      <c r="A6" s="3" t="s">
        <v>410</v>
      </c>
      <c r="B6" s="6">
        <f>COUNTIFS(Matches!$H$2:$H$757,"field")/B3</f>
        <v>0.6124338624338624</v>
      </c>
      <c r="H6">
        <v>2010</v>
      </c>
      <c r="I6">
        <f>COUNTIFS(Matches!$B$2:$B$757,H6)</f>
        <v>60</v>
      </c>
      <c r="J6" s="6">
        <f>COUNTIFS(Matches!$B$2:$B$757,H6,Matches!$H$2:$H$757,"field")/I6</f>
        <v>0.35</v>
      </c>
      <c r="K6">
        <f>COUNTIFS(Matches!$B$2:$B$757,H6,Matches!$L$2:$L$757,"&gt;0")</f>
        <v>31</v>
      </c>
      <c r="L6">
        <f>COUNTIFS(Matches!$B$2:$B$757,H6,Matches!$M$2:$M$757,"&gt;0")</f>
        <v>28</v>
      </c>
      <c r="M6" s="6">
        <f>L6/(K6+L6)</f>
        <v>0.4745762711864407</v>
      </c>
    </row>
    <row r="7" spans="1:13" x14ac:dyDescent="0.25">
      <c r="A7" s="3" t="s">
        <v>411</v>
      </c>
      <c r="B7">
        <f>SUM(Matches!$J$2:$J$757)</f>
        <v>19</v>
      </c>
      <c r="H7">
        <v>2011</v>
      </c>
      <c r="I7">
        <f>COUNTIFS(Matches!$B$2:$B$757,H7)</f>
        <v>73</v>
      </c>
      <c r="J7" s="6">
        <f>COUNTIFS(Matches!$B$2:$B$757,H7,Matches!$H$2:$H$757,"field")/I7</f>
        <v>0.6575342465753424</v>
      </c>
      <c r="K7">
        <f>COUNTIFS(Matches!$B$2:$B$757,H7,Matches!$L$2:$L$757,"&gt;0")</f>
        <v>33</v>
      </c>
      <c r="L7">
        <f>COUNTIFS(Matches!$B$2:$B$757,H7,Matches!$M$2:$M$757,"&gt;0")</f>
        <v>39</v>
      </c>
      <c r="M7" s="6">
        <f>L7/(K7+L7)</f>
        <v>0.5416666666666666</v>
      </c>
    </row>
    <row r="8" spans="1:13" x14ac:dyDescent="0.25">
      <c r="H8">
        <v>2012</v>
      </c>
      <c r="I8">
        <f>COUNTIFS(Matches!$B$2:$B$757,H8)</f>
        <v>74</v>
      </c>
      <c r="J8" s="6">
        <f>COUNTIFS(Matches!$B$2:$B$757,H8,Matches!$H$2:$H$757,"field")/I8</f>
        <v>0.5</v>
      </c>
      <c r="K8">
        <f>COUNTIFS(Matches!$B$2:$B$757,H8,Matches!$L$2:$L$757,"&gt;0")</f>
        <v>34</v>
      </c>
      <c r="L8">
        <f>COUNTIFS(Matches!$B$2:$B$757,H8,Matches!$M$2:$M$757,"&gt;0")</f>
        <v>40</v>
      </c>
      <c r="M8" s="6">
        <f>L8/(K8+L8)</f>
        <v>0.5405405405405406</v>
      </c>
    </row>
    <row r="9" spans="1:13" x14ac:dyDescent="0.25">
      <c r="H9">
        <v>2013</v>
      </c>
      <c r="I9">
        <f>COUNTIFS(Matches!$B$2:$B$757,H9)</f>
        <v>76</v>
      </c>
      <c r="J9" s="6">
        <f>COUNTIFS(Matches!$B$2:$B$757,H9,Matches!$H$2:$H$757,"field")/I9</f>
        <v>0.40789473684210525</v>
      </c>
      <c r="K9">
        <f>COUNTIFS(Matches!$B$2:$B$757,H9,Matches!$L$2:$L$757,"&gt;0")</f>
        <v>37</v>
      </c>
      <c r="L9">
        <f>COUNTIFS(Matches!$B$2:$B$757,H9,Matches!$M$2:$M$757,"&gt;0")</f>
        <v>37</v>
      </c>
      <c r="M9" s="6">
        <f>L9/(K9+L9)</f>
        <v>0.5</v>
      </c>
    </row>
    <row r="10" spans="1:13" x14ac:dyDescent="0.25">
      <c r="A10" s="4" t="s">
        <v>412</v>
      </c>
      <c r="B10" s="4" t="s">
        <v>413</v>
      </c>
      <c r="C10" s="4" t="s">
        <v>414</v>
      </c>
      <c r="D10" s="4" t="s">
        <v>415</v>
      </c>
      <c r="E10" s="4" t="s">
        <v>416</v>
      </c>
      <c r="H10">
        <v>2014</v>
      </c>
      <c r="I10">
        <f>COUNTIFS(Matches!$B$2:$B$757,H10)</f>
        <v>60</v>
      </c>
      <c r="J10" s="6">
        <f>COUNTIFS(Matches!$B$2:$B$757,H10,Matches!$H$2:$H$757,"field")/I10</f>
        <v>0.6833333333333333</v>
      </c>
      <c r="K10">
        <f>COUNTIFS(Matches!$B$2:$B$757,H10,Matches!$L$2:$L$757,"&gt;0")</f>
        <v>22</v>
      </c>
      <c r="L10">
        <f>COUNTIFS(Matches!$B$2:$B$757,H10,Matches!$M$2:$M$757,"&gt;0")</f>
        <v>37</v>
      </c>
      <c r="M10" s="6">
        <f>L10/(K10+L10)</f>
        <v>0.6271186440677966</v>
      </c>
    </row>
    <row r="11" spans="1:13" x14ac:dyDescent="0.25">
      <c r="A11" t="s">
        <v>36</v>
      </c>
      <c r="B11">
        <f>COUNTIFS(Matches!$P$2:$P$757,A11,Matches!$S$2:$S$757,"&lt;&gt;No result")+COUNTIFS(Matches!$Q$2:$Q$757,A11,Matches!$S$2:$S$757,"&lt;&gt;No result")</f>
        <v>187</v>
      </c>
      <c r="C11">
        <f>COUNTIFS(Matches!$S$2:$S$757,A11)</f>
        <v>109</v>
      </c>
      <c r="D11" s="6">
        <f>C11/B11</f>
        <v>0.5828877005347594</v>
      </c>
      <c r="E11">
        <f>COUNTIFS(Matches!$S$2:$S$757,A11,Matches!$D$2:$D$757,"Final")</f>
        <v>4</v>
      </c>
      <c r="H11">
        <v>2015</v>
      </c>
      <c r="I11">
        <f>COUNTIFS(Matches!$B$2:$B$757,H11)</f>
        <v>59</v>
      </c>
      <c r="J11" s="6">
        <f>COUNTIFS(Matches!$B$2:$B$757,H11,Matches!$H$2:$H$757,"field")/I11</f>
        <v>0.576271186440678</v>
      </c>
      <c r="K11">
        <f>COUNTIFS(Matches!$B$2:$B$757,H11,Matches!$L$2:$L$757,"&gt;0")</f>
        <v>32</v>
      </c>
      <c r="L11">
        <f>COUNTIFS(Matches!$B$2:$B$757,H11,Matches!$M$2:$M$757,"&gt;0")</f>
        <v>24</v>
      </c>
      <c r="M11" s="6">
        <f>L11/(K11+L11)</f>
        <v>0.42857142857142855</v>
      </c>
    </row>
    <row r="12" spans="1:13" x14ac:dyDescent="0.25">
      <c r="A12" t="s">
        <v>13</v>
      </c>
      <c r="B12">
        <f>COUNTIFS(Matches!$P$2:$P$757,A12,Matches!$S$2:$S$757,"&lt;&gt;No result")+COUNTIFS(Matches!$Q$2:$Q$757,A12,Matches!$S$2:$S$757,"&lt;&gt;No result")</f>
        <v>164</v>
      </c>
      <c r="C12">
        <f>COUNTIFS(Matches!$S$2:$S$757,A12)</f>
        <v>100</v>
      </c>
      <c r="D12" s="6">
        <f>C12/B12</f>
        <v>0.6097560975609756</v>
      </c>
      <c r="E12">
        <f>COUNTIFS(Matches!$S$2:$S$757,A12,Matches!$D$2:$D$757,"Final")</f>
        <v>3</v>
      </c>
      <c r="H12">
        <v>2016</v>
      </c>
      <c r="I12">
        <f>COUNTIFS(Matches!$B$2:$B$757,H12)</f>
        <v>60</v>
      </c>
      <c r="J12" s="6">
        <f>COUNTIFS(Matches!$B$2:$B$757,H12,Matches!$H$2:$H$757,"field")/I12</f>
        <v>0.8166666666666667</v>
      </c>
      <c r="K12">
        <f>COUNTIFS(Matches!$B$2:$B$757,H12,Matches!$L$2:$L$757,"&gt;0")</f>
        <v>21</v>
      </c>
      <c r="L12">
        <f>COUNTIFS(Matches!$B$2:$B$757,H12,Matches!$M$2:$M$757,"&gt;0")</f>
        <v>39</v>
      </c>
      <c r="M12" s="6">
        <f>L12/(K12+L12)</f>
        <v>0.65</v>
      </c>
    </row>
    <row r="13" spans="1:13" x14ac:dyDescent="0.25">
      <c r="A13" t="s">
        <v>33</v>
      </c>
      <c r="B13">
        <f>COUNTIFS(Matches!$P$2:$P$757,A13,Matches!$S$2:$S$757,"&lt;&gt;No result")+COUNTIFS(Matches!$Q$2:$Q$757,A13,Matches!$S$2:$S$757,"&lt;&gt;No result")</f>
        <v>178</v>
      </c>
      <c r="C13">
        <f>COUNTIFS(Matches!$S$2:$S$757,A13)</f>
        <v>92</v>
      </c>
      <c r="D13" s="6">
        <f>C13/B13</f>
        <v>0.5168539325842697</v>
      </c>
      <c r="E13">
        <f>COUNTIFS(Matches!$S$2:$S$757,A13,Matches!$D$2:$D$757,"Final")</f>
        <v>2</v>
      </c>
      <c r="H13">
        <v>2017</v>
      </c>
      <c r="I13">
        <f>COUNTIFS(Matches!$B$2:$B$757,H13)</f>
        <v>59</v>
      </c>
      <c r="J13" s="6">
        <f>COUNTIFS(Matches!$B$2:$B$757,H13,Matches!$H$2:$H$757,"field")/I13</f>
        <v>0.8135593220338984</v>
      </c>
      <c r="K13">
        <f>COUNTIFS(Matches!$B$2:$B$757,H13,Matches!$L$2:$L$757,"&gt;0")</f>
        <v>26</v>
      </c>
      <c r="L13">
        <f>COUNTIFS(Matches!$B$2:$B$757,H13,Matches!$M$2:$M$757,"&gt;0")</f>
        <v>32</v>
      </c>
      <c r="M13" s="6">
        <f>L13/(K13+L13)</f>
        <v>0.5517241379310345</v>
      </c>
    </row>
    <row r="14" spans="1:13" x14ac:dyDescent="0.25">
      <c r="A14" t="s">
        <v>47</v>
      </c>
      <c r="B14">
        <f>COUNTIFS(Matches!$P$2:$P$757,A14,Matches!$S$2:$S$757,"&lt;&gt;No result")+COUNTIFS(Matches!$Q$2:$Q$757,A14,Matches!$S$2:$S$757,"&lt;&gt;No result")</f>
        <v>177</v>
      </c>
      <c r="C14">
        <f>COUNTIFS(Matches!$S$2:$S$757,A14)</f>
        <v>84</v>
      </c>
      <c r="D14" s="6">
        <f>C14/B14</f>
        <v>0.4745762711864407</v>
      </c>
      <c r="E14">
        <f>COUNTIFS(Matches!$S$2:$S$757,A14,Matches!$D$2:$D$757,"Final")</f>
        <v>0</v>
      </c>
      <c r="H14">
        <v>2018</v>
      </c>
      <c r="I14">
        <f>COUNTIFS(Matches!$B$2:$B$757,H14)</f>
        <v>60</v>
      </c>
      <c r="J14" s="6">
        <f>COUNTIFS(Matches!$B$2:$B$757,H14,Matches!$H$2:$H$757,"field")/I14</f>
        <v>0.8333333333333334</v>
      </c>
      <c r="K14">
        <f>COUNTIFS(Matches!$B$2:$B$757,H14,Matches!$L$2:$L$757,"&gt;0")</f>
        <v>28</v>
      </c>
      <c r="L14">
        <f>COUNTIFS(Matches!$B$2:$B$757,H14,Matches!$M$2:$M$757,"&gt;0")</f>
        <v>32</v>
      </c>
      <c r="M14" s="6">
        <f>L14/(K14+L14)</f>
        <v>0.5333333333333333</v>
      </c>
    </row>
    <row r="15" spans="1:13" x14ac:dyDescent="0.25">
      <c r="A15" t="s">
        <v>27</v>
      </c>
      <c r="B15">
        <f>COUNTIFS(Matches!$P$2:$P$757,A15,Matches!$S$2:$S$757,"&lt;&gt;No result")+COUNTIFS(Matches!$Q$2:$Q$757,A15,Matches!$S$2:$S$757,"&lt;&gt;No result")</f>
        <v>176</v>
      </c>
      <c r="C15">
        <f>COUNTIFS(Matches!$S$2:$S$757,A15)</f>
        <v>82</v>
      </c>
      <c r="D15" s="6">
        <f>C15/B15</f>
        <v>0.4659090909090909</v>
      </c>
      <c r="E15">
        <f>COUNTIFS(Matches!$S$2:$S$757,A15,Matches!$D$2:$D$757,"Final")</f>
        <v>0</v>
      </c>
      <c r="H15">
        <v>2019</v>
      </c>
      <c r="I15">
        <f>COUNTIFS(Matches!$B$2:$B$757,H15)</f>
        <v>60</v>
      </c>
      <c r="J15" s="6">
        <f>COUNTIFS(Matches!$B$2:$B$757,H15,Matches!$H$2:$H$757,"field")/I15</f>
        <v>0.8333333333333334</v>
      </c>
      <c r="K15">
        <f>COUNTIFS(Matches!$B$2:$B$757,H15,Matches!$L$2:$L$757,"&gt;0")</f>
        <v>22</v>
      </c>
      <c r="L15">
        <f>COUNTIFS(Matches!$B$2:$B$757,H15,Matches!$M$2:$M$757,"&gt;0")</f>
        <v>35</v>
      </c>
      <c r="M15" s="6">
        <f>L15/(K15+L15)</f>
        <v>0.6140350877192983</v>
      </c>
    </row>
    <row r="16" spans="1:13" x14ac:dyDescent="0.25">
      <c r="A16" t="s">
        <v>21</v>
      </c>
      <c r="B16">
        <f>COUNTIFS(Matches!$P$2:$P$757,A16,Matches!$S$2:$S$757,"&lt;&gt;No result")+COUNTIFS(Matches!$Q$2:$Q$757,A16,Matches!$S$2:$S$757,"&lt;&gt;No result")</f>
        <v>175</v>
      </c>
      <c r="C16">
        <f>COUNTIFS(Matches!$S$2:$S$757,A16)</f>
        <v>77</v>
      </c>
      <c r="D16" s="6">
        <f>C16/B16</f>
        <v>0.44</v>
      </c>
      <c r="E16">
        <f>COUNTIFS(Matches!$S$2:$S$757,A16,Matches!$D$2:$D$757,"Final")</f>
        <v>0</v>
      </c>
    </row>
    <row r="17" spans="1:5" x14ac:dyDescent="0.25">
      <c r="A17" t="s">
        <v>42</v>
      </c>
      <c r="B17">
        <f>COUNTIFS(Matches!$P$2:$P$757,A17,Matches!$S$2:$S$757,"&lt;&gt;No result")+COUNTIFS(Matches!$Q$2:$Q$757,A17,Matches!$S$2:$S$757,"&lt;&gt;No result")</f>
        <v>145</v>
      </c>
      <c r="C17">
        <f>COUNTIFS(Matches!$S$2:$S$757,A17)</f>
        <v>75</v>
      </c>
      <c r="D17" s="6">
        <f>C17/B17</f>
        <v>0.5172413793103449</v>
      </c>
      <c r="E17">
        <f>COUNTIFS(Matches!$S$2:$S$757,A17,Matches!$D$2:$D$757,"Final")</f>
        <v>1</v>
      </c>
    </row>
    <row r="18" spans="1:5" x14ac:dyDescent="0.25">
      <c r="A18" t="s">
        <v>50</v>
      </c>
      <c r="B18">
        <f>COUNTIFS(Matches!$P$2:$P$757,A18,Matches!$S$2:$S$757,"&lt;&gt;No result")+COUNTIFS(Matches!$Q$2:$Q$757,A18,Matches!$S$2:$S$757,"&lt;&gt;No result")</f>
        <v>108</v>
      </c>
      <c r="C18">
        <f>COUNTIFS(Matches!$S$2:$S$757,A18)</f>
        <v>58</v>
      </c>
      <c r="D18" s="6">
        <f>C18/B18</f>
        <v>0.5370370370370371</v>
      </c>
      <c r="E18">
        <f>COUNTIFS(Matches!$S$2:$S$757,A18,Matches!$D$2:$D$757,"Final")</f>
        <v>1</v>
      </c>
    </row>
    <row r="19" spans="1:5" x14ac:dyDescent="0.25">
      <c r="A19" t="s">
        <v>17</v>
      </c>
      <c r="B19">
        <f>COUNTIFS(Matches!$P$2:$P$757,A19,Matches!$S$2:$S$757,"&lt;&gt;No result")+COUNTIFS(Matches!$Q$2:$Q$757,A19,Matches!$S$2:$S$757,"&lt;&gt;No result")</f>
        <v>75</v>
      </c>
      <c r="C19">
        <f>COUNTIFS(Matches!$S$2:$S$757,A19)</f>
        <v>29</v>
      </c>
      <c r="D19" s="6">
        <f>C19/B19</f>
        <v>0.38666666666666666</v>
      </c>
      <c r="E19">
        <f>COUNTIFS(Matches!$S$2:$S$757,A19,Matches!$D$2:$D$757,"Final")</f>
        <v>1</v>
      </c>
    </row>
    <row r="20" spans="1:5" x14ac:dyDescent="0.25">
      <c r="A20" t="s">
        <v>45</v>
      </c>
      <c r="B20">
        <f>COUNTIFS(Matches!$P$2:$P$757,A20,Matches!$S$2:$S$757,"&lt;&gt;No result")+COUNTIFS(Matches!$Q$2:$Q$757,A20,Matches!$S$2:$S$757,"&lt;&gt;No result")</f>
        <v>30</v>
      </c>
      <c r="C20">
        <f>COUNTIFS(Matches!$S$2:$S$757,A20)</f>
        <v>15</v>
      </c>
      <c r="D20" s="6">
        <f>C20/B20</f>
        <v>0.5</v>
      </c>
      <c r="E20">
        <f>COUNTIFS(Matches!$S$2:$S$757,A20,Matches!$D$2:$D$757,"Final")</f>
        <v>0</v>
      </c>
    </row>
    <row r="21" spans="1:5" x14ac:dyDescent="0.25">
      <c r="A21" t="s">
        <v>24</v>
      </c>
      <c r="B21">
        <f>COUNTIFS(Matches!$P$2:$P$757,A21,Matches!$S$2:$S$757,"&lt;&gt;No result")+COUNTIFS(Matches!$Q$2:$Q$757,A21,Matches!$S$2:$S$757,"&lt;&gt;No result")</f>
        <v>30</v>
      </c>
      <c r="C21">
        <f>COUNTIFS(Matches!$S$2:$S$757,A21)</f>
        <v>13</v>
      </c>
      <c r="D21" s="6">
        <f>C21/B21</f>
        <v>0.43333333333333335</v>
      </c>
      <c r="E21">
        <f>COUNTIFS(Matches!$S$2:$S$757,A21,Matches!$D$2:$D$757,"Final")</f>
        <v>0</v>
      </c>
    </row>
    <row r="22" spans="1:5" x14ac:dyDescent="0.25">
      <c r="A22" t="s">
        <v>39</v>
      </c>
      <c r="B22">
        <f>COUNTIFS(Matches!$P$2:$P$757,A22,Matches!$S$2:$S$757,"&lt;&gt;No result")+COUNTIFS(Matches!$Q$2:$Q$757,A22,Matches!$S$2:$S$757,"&lt;&gt;No result")</f>
        <v>45</v>
      </c>
      <c r="C22">
        <f>COUNTIFS(Matches!$S$2:$S$757,A22)</f>
        <v>12</v>
      </c>
      <c r="D22" s="6">
        <f>C22/B22</f>
        <v>0.26666666666666666</v>
      </c>
      <c r="E22">
        <f>COUNTIFS(Matches!$S$2:$S$757,A22,Matches!$D$2:$D$757,"Final")</f>
        <v>0</v>
      </c>
    </row>
    <row r="23" spans="1:5" x14ac:dyDescent="0.25">
      <c r="A23" t="s">
        <v>30</v>
      </c>
      <c r="B23">
        <f>COUNTIFS(Matches!$P$2:$P$757,A23,Matches!$S$2:$S$757,"&lt;&gt;No result")+COUNTIFS(Matches!$Q$2:$Q$757,A23,Matches!$S$2:$S$757,"&lt;&gt;No result")</f>
        <v>14</v>
      </c>
      <c r="C23">
        <f>COUNTIFS(Matches!$S$2:$S$757,A23)</f>
        <v>6</v>
      </c>
      <c r="D23" s="6">
        <f>C23/B23</f>
        <v>0.42857142857142855</v>
      </c>
      <c r="E23">
        <f>COUNTIFS(Matches!$S$2:$S$757,A23,Matches!$D$2:$D$757,"Final")</f>
        <v>0</v>
      </c>
    </row>
  </sheetData>
  <conditionalFormatting sqref="D11:D23">
    <cfRule type="dataBar" priority="1">
      <dataBar>
        <cfvo type="num" val="0"/>
        <cfvo type="num" val="1"/>
        <color rgb="FF9DC3E6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DC3E6"/>
              <x14:negativeFillColor rgb="FFFF0000"/>
              <x14:negativeBorderColor rgb="FFFF0000"/>
              <x14:axisColor rgb="FF000000"/>
            </x14:dataBar>
          </x14:cfRule>
          <xm:sqref>D11:D23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6.7109375" customWidth="1"/>
    <col min="2" max="2" width="14.7109375" customWidth="1"/>
    <col min="4" max="5" width="12.7109375" customWidth="1"/>
  </cols>
  <sheetData>
    <row r="1" spans="1:5">
      <c r="A1" s="1" t="s">
        <v>422</v>
      </c>
    </row>
    <row r="3" spans="1:5">
      <c r="A3" s="4" t="s">
        <v>423</v>
      </c>
      <c r="B3" s="4" t="s">
        <v>424</v>
      </c>
      <c r="D3" s="4" t="s">
        <v>439</v>
      </c>
      <c r="E3" s="4" t="s">
        <v>407</v>
      </c>
    </row>
    <row r="4" spans="1:5">
      <c r="A4" t="s">
        <v>425</v>
      </c>
      <c r="B4" s="7">
        <f>COUNT(Matches!$X$2:$X$757)</f>
        <v>337</v>
      </c>
      <c r="D4" t="s">
        <v>440</v>
      </c>
      <c r="E4">
        <f>COUNTIFS(Matches!$X$2:$X$757,"&gt;0",Matches!$X$2:$X$757,"&lt;=10")</f>
        <v>80</v>
      </c>
    </row>
    <row r="5" spans="1:5">
      <c r="A5" t="s">
        <v>426</v>
      </c>
      <c r="B5" s="7">
        <f>AVERAGE(Matches!$X$2:$X$757)</f>
        <v>29.798219584569733</v>
      </c>
      <c r="D5" t="s">
        <v>441</v>
      </c>
      <c r="E5">
        <f>COUNTIFS(Matches!$X$2:$X$757,"&gt;10",Matches!$X$2:$X$757,"&lt;=20")</f>
        <v>80</v>
      </c>
    </row>
    <row r="6" spans="1:5">
      <c r="A6" t="s">
        <v>427</v>
      </c>
      <c r="B6" s="7">
        <f>MEDIAN(Matches!$X$2:$X$757)</f>
        <v>22.0</v>
      </c>
      <c r="D6" t="s">
        <v>442</v>
      </c>
      <c r="E6">
        <f>COUNTIFS(Matches!$X$2:$X$757,"&gt;20",Matches!$X$2:$X$757,"&lt;=30")</f>
        <v>56</v>
      </c>
    </row>
    <row r="7" spans="1:5">
      <c r="A7" t="s">
        <v>428</v>
      </c>
      <c r="B7" s="7">
        <f>MODE(Matches!$X$2:$X$757)</f>
        <v>14.0</v>
      </c>
      <c r="D7" t="s">
        <v>443</v>
      </c>
      <c r="E7">
        <f>COUNTIFS(Matches!$X$2:$X$757,"&gt;30",Matches!$X$2:$X$757,"&lt;=40")</f>
        <v>43</v>
      </c>
    </row>
    <row r="8" spans="1:5">
      <c r="A8" t="s">
        <v>429</v>
      </c>
      <c r="B8" s="7">
        <f>STDEV(Matches!$X$2:$X$757)</f>
        <v>27.281615502747165</v>
      </c>
      <c r="D8" t="s">
        <v>444</v>
      </c>
      <c r="E8">
        <f>COUNTIFS(Matches!$X$2:$X$757,"&gt;40",Matches!$X$2:$X$757,"&lt;=60")</f>
        <v>35</v>
      </c>
    </row>
    <row r="9" spans="1:5">
      <c r="A9" t="s">
        <v>430</v>
      </c>
      <c r="B9" s="7">
        <f>MIN(Matches!$X$2:$X$757)</f>
        <v>1.0</v>
      </c>
      <c r="D9" t="s">
        <v>445</v>
      </c>
      <c r="E9">
        <f>COUNTIFS(Matches!$X$2:$X$757,"&gt;60",Matches!$X$2:$X$757,"&lt;=80")</f>
        <v>20</v>
      </c>
    </row>
    <row r="10" spans="1:5">
      <c r="A10" t="s">
        <v>431</v>
      </c>
      <c r="B10" s="7">
        <f>MAX(Matches!$X$2:$X$757)</f>
        <v>146.0</v>
      </c>
      <c r="D10" t="s">
        <v>446</v>
      </c>
      <c r="E10">
        <f>COUNTIFS(Matches!$X$2:$X$757,"&gt;80",Matches!$X$2:$X$757,"&lt;=1000000")</f>
        <v>23</v>
      </c>
    </row>
    <row r="11" spans="1:5">
      <c r="A11" t="s">
        <v>432</v>
      </c>
      <c r="B11" s="7">
        <f>QUARTILE(Matches!$X$2:$X$757,1)</f>
        <v>11.0</v>
      </c>
    </row>
    <row r="12" spans="1:5">
      <c r="A12" t="s">
        <v>433</v>
      </c>
      <c r="B12" s="7">
        <f>QUARTILE(Matches!$X$2:$X$757,3)</f>
        <v>39.0</v>
      </c>
    </row>
    <row r="13" spans="1:5">
      <c r="A13" t="s">
        <v>434</v>
      </c>
      <c r="B13" s="7">
        <f>B12-B11</f>
        <v>28.0</v>
      </c>
    </row>
    <row r="14" spans="1:5">
      <c r="A14" t="s">
        <v>435</v>
      </c>
      <c r="B14" s="7">
        <f>B11-1.5*B13</f>
        <v>-31.0</v>
      </c>
    </row>
    <row r="15" spans="1:5">
      <c r="A15" t="s">
        <v>436</v>
      </c>
      <c r="B15" s="7">
        <f>B12+1.5*B13</f>
        <v>81.0</v>
      </c>
    </row>
    <row r="16" spans="1:5">
      <c r="A16" t="s">
        <v>437</v>
      </c>
      <c r="B16" s="7">
        <f>COUNTIF(Matches!$X$2:$X$757,"&gt;"&amp;B15)</f>
        <v>23</v>
      </c>
    </row>
    <row r="17" spans="1:2">
      <c r="A17" t="s">
        <v>438</v>
      </c>
      <c r="B17" s="7">
        <f>SKEW(Matches!$X$2:$X$757)</f>
        <v>1.7570395489658672</v>
      </c>
    </row>
    <row r="20" spans="1:2">
      <c r="A20" s="3" t="s">
        <v>447</v>
      </c>
    </row>
    <row r="21" spans="1:2">
      <c r="A21" t="s">
        <v>448</v>
      </c>
    </row>
    <row r="22" spans="1:2">
      <c r="A22" t="s">
        <v>449</v>
      </c>
    </row>
    <row r="23" spans="1:2">
      <c r="A23" t="s">
        <v>450</v>
      </c>
    </row>
    <row r="24" spans="1:2">
      <c r="A24" t="s">
        <v>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Teams</vt:lpstr>
      <vt:lpstr>Venues</vt:lpstr>
      <vt:lpstr>CleaningLog</vt:lpstr>
      <vt:lpstr>Matches</vt:lpstr>
      <vt:lpstr>Summary</vt:lpstr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2026-10-26T14:15:21Z</dcterms:created>
  <dcterms:modified xsi:type="dcterms:W3CDTF">2026-10-26T14:15:21Z</dcterms:modified>
</cp:coreProperties>
</file>